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iego\Downloads\"/>
    </mc:Choice>
  </mc:AlternateContent>
  <xr:revisionPtr revIDLastSave="0" documentId="13_ncr:1_{A9D9F753-97B0-4A3C-8BF2-56227BD6E7EE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Resumen Ejecutivo" sheetId="1" r:id="rId1"/>
    <sheet name="Control Gastos" sheetId="2" r:id="rId2"/>
    <sheet name="Simulador Incremento Sueld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3" l="1"/>
  <c r="I10" i="3" s="1"/>
  <c r="H9" i="3"/>
  <c r="I9" i="3" s="1"/>
  <c r="H8" i="3"/>
  <c r="I8" i="3" s="1"/>
  <c r="H7" i="3"/>
  <c r="I7" i="3" s="1"/>
  <c r="H6" i="3"/>
  <c r="I6" i="3" s="1"/>
  <c r="F40" i="2"/>
  <c r="F37" i="2"/>
  <c r="E29" i="2"/>
  <c r="E26" i="2"/>
  <c r="E23" i="2"/>
  <c r="E17" i="2"/>
  <c r="D23" i="1"/>
  <c r="E22" i="1"/>
  <c r="D22" i="1"/>
  <c r="E21" i="1"/>
  <c r="D21" i="1"/>
  <c r="E18" i="1"/>
  <c r="E17" i="1"/>
  <c r="F16" i="1"/>
  <c r="E16" i="1"/>
  <c r="F15" i="1"/>
  <c r="E15" i="1"/>
  <c r="F14" i="1"/>
  <c r="E14" i="1"/>
  <c r="F13" i="1"/>
  <c r="E13" i="1"/>
  <c r="E9" i="1"/>
  <c r="D9" i="1"/>
  <c r="E8" i="1"/>
  <c r="E7" i="1"/>
</calcChain>
</file>

<file path=xl/sharedStrings.xml><?xml version="1.0" encoding="utf-8"?>
<sst xmlns="http://schemas.openxmlformats.org/spreadsheetml/2006/main" count="204" uniqueCount="144">
  <si>
    <t>PLAN FINANCIERO COMPARTIDO - INFORME Y CONTROL MENSUAL</t>
  </si>
  <si>
    <t>Estructura modular para seguimiento de ingresos variables, gastos compartidos e individuales</t>
  </si>
  <si>
    <t>1. PARÁMETROS GLOBALES DE INGRESOS</t>
  </si>
  <si>
    <t>Rol / Titular</t>
  </si>
  <si>
    <t>Concepto</t>
  </si>
  <si>
    <t>Monto Base Actual</t>
  </si>
  <si>
    <t>Monto Proyectado / Escenario</t>
  </si>
  <si>
    <t>Notas</t>
  </si>
  <si>
    <t>Diego</t>
  </si>
  <si>
    <t>Sueldo Base Líquido</t>
  </si>
  <si>
    <t>Variable / Posible reajuste al alza</t>
  </si>
  <si>
    <t>Aporte / Ingresos Estimados</t>
  </si>
  <si>
    <t>Ingreso según chequera electrónica BancoEstado</t>
  </si>
  <si>
    <t>Total Ingresos Familiares</t>
  </si>
  <si>
    <t>Consolidado hogar</t>
  </si>
  <si>
    <t>2. DISTRIBUCIÓN MENSUAL CONSOLIDADA (COFRES Y COMPROMISOS)</t>
  </si>
  <si>
    <t>Cofre / Categoría</t>
  </si>
  <si>
    <t>Responsable Principal</t>
  </si>
  <si>
    <t>Cuenta / Medio</t>
  </si>
  <si>
    <t>Monto Mensual</t>
  </si>
  <si>
    <t>% s/ Ingreso Diego</t>
  </si>
  <si>
    <t>Vivienda y Compromisos Fijos Diego</t>
  </si>
  <si>
    <t>Cuenta Fan</t>
  </si>
  <si>
    <t>Operaciones y Logística Huasco</t>
  </si>
  <si>
    <t>Tenpo</t>
  </si>
  <si>
    <t>Bolsillo Personal (Modo Recuperación)</t>
  </si>
  <si>
    <t>Mach</t>
  </si>
  <si>
    <t>Ahorro Blindado / Fondo Reserva</t>
  </si>
  <si>
    <t>Mercado Pago</t>
  </si>
  <si>
    <t>Gastos Hogar &amp; Cuentas Básicas</t>
  </si>
  <si>
    <t>Chequera BancoEstado</t>
  </si>
  <si>
    <t>Compromiso Pareja</t>
  </si>
  <si>
    <t>Tarjeta Smart Visa (Deuda Pareja)</t>
  </si>
  <si>
    <t>BancoEstado</t>
  </si>
  <si>
    <t>3. BALANCE Y CAPACIDAD DE ABSORCIÓN</t>
  </si>
  <si>
    <t>Total Gastos Fijos &amp; Aportes Diego</t>
  </si>
  <si>
    <t>Compromisos asignados a Diego</t>
  </si>
  <si>
    <t>Reserva Oxígeno / Margen Libre Diego</t>
  </si>
  <si>
    <t>Excedente mensual antes de barrido a Mercado Pago</t>
  </si>
  <si>
    <t>Total Gastos Asignados Pareja (Promedio)</t>
  </si>
  <si>
    <t>-</t>
  </si>
  <si>
    <t>Gastos básicos hogar + cuota tarjeta</t>
  </si>
  <si>
    <t>REGISTRO DETALLADO DE COSTOS Y COMPROMISOS MENSUALES</t>
  </si>
  <si>
    <t>Plantilla colaborativa para registrar valores reales mes a mes</t>
  </si>
  <si>
    <t>ID / Categoría</t>
  </si>
  <si>
    <t>Concepto / Detalle</t>
  </si>
  <si>
    <t>Frecuencia / Plazo</t>
  </si>
  <si>
    <t>Aporte Diego (CLP)</t>
  </si>
  <si>
    <t>Aporte Pareja (CLP)</t>
  </si>
  <si>
    <t>Medio / Cuenta</t>
  </si>
  <si>
    <t>Histórico Jul-26</t>
  </si>
  <si>
    <t>Histórico Ago-26</t>
  </si>
  <si>
    <t>Histórico Sep-26</t>
  </si>
  <si>
    <t>Observaciones</t>
  </si>
  <si>
    <t>Vivienda</t>
  </si>
  <si>
    <t>Crédito Hipotecario (Base en UF)</t>
  </si>
  <si>
    <t>Mensual (1-5)</t>
  </si>
  <si>
    <t>Diferencial UF pagado por Pareja</t>
  </si>
  <si>
    <t>Vivienda Huasco</t>
  </si>
  <si>
    <t>Arriendo Habitación Huasco</t>
  </si>
  <si>
    <t>Mensual (Día 1)</t>
  </si>
  <si>
    <t>Base operativa</t>
  </si>
  <si>
    <t>Servicios Huasco (Luz y Agua)</t>
  </si>
  <si>
    <t>Mensual (Variable)</t>
  </si>
  <si>
    <t>Estimado mensual</t>
  </si>
  <si>
    <t>Conectividad</t>
  </si>
  <si>
    <t>Internet + Planes Celular (Diego)</t>
  </si>
  <si>
    <t>Mensual (10-15)</t>
  </si>
  <si>
    <t>Conectividad personal</t>
  </si>
  <si>
    <t>Mascotas</t>
  </si>
  <si>
    <t>Comida Michis (41.900)</t>
  </si>
  <si>
    <t>Mensual</t>
  </si>
  <si>
    <t>Asumido por Diego desde Octubre</t>
  </si>
  <si>
    <t>Arena Sanitaria Michis (23.200)</t>
  </si>
  <si>
    <t>Streaming</t>
  </si>
  <si>
    <t>Netflix</t>
  </si>
  <si>
    <t>Suscripción recurrente</t>
  </si>
  <si>
    <t>Crunchyroll</t>
  </si>
  <si>
    <t>Salud Cíclica</t>
  </si>
  <si>
    <t>Eutirox 137 (Ajuste ponderado mensual)</t>
  </si>
  <si>
    <t>Cada 45 días ($15k)</t>
  </si>
  <si>
    <t>Ponderación mensual</t>
  </si>
  <si>
    <t>Rupatadina (Ajuste ponderado mensual)</t>
  </si>
  <si>
    <t>Cada 28 días ($9.7k)</t>
  </si>
  <si>
    <t>SUBTOTAL FIJOS DIEGO</t>
  </si>
  <si>
    <t>Operaciones</t>
  </si>
  <si>
    <t>Pasajes Interregionales (8 viajes)</t>
  </si>
  <si>
    <t>Promedio ajustado con descuentos</t>
  </si>
  <si>
    <t>Uber (Traslados y retenciones)</t>
  </si>
  <si>
    <t>Margen de seguridad PayU</t>
  </si>
  <si>
    <t>Metro Valparaíso (EFE)</t>
  </si>
  <si>
    <t>Recarga mensual</t>
  </si>
  <si>
    <t>Snacks Turno (Galletas + Energéticas)</t>
  </si>
  <si>
    <t>Mensual (4 turnos)</t>
  </si>
  <si>
    <t>~$8.3k por turno en Huasco</t>
  </si>
  <si>
    <t>SUBTOTAL OPERACIONES TENPO</t>
  </si>
  <si>
    <t>Bolsillo</t>
  </si>
  <si>
    <t>Asignación Semanal ($35.000 x 4)</t>
  </si>
  <si>
    <t>Semanal (Lunes)</t>
  </si>
  <si>
    <t>Ajustado a modo recuperación</t>
  </si>
  <si>
    <t>SUBTOTAL BOLSILLO MACH</t>
  </si>
  <si>
    <t>Ahorro</t>
  </si>
  <si>
    <t>Fondo de Emergencia / Reserva Base</t>
  </si>
  <si>
    <t>Interés diario compuesto</t>
  </si>
  <si>
    <t>SUBTOTAL AHORRO MERCADO PAGO</t>
  </si>
  <si>
    <t>Hogar Limache</t>
  </si>
  <si>
    <t>Luz (CGE / Chilquinta)</t>
  </si>
  <si>
    <t>Promedio trimestral variable</t>
  </si>
  <si>
    <t>Agua (Esval)</t>
  </si>
  <si>
    <t>Promedio trimestral</t>
  </si>
  <si>
    <t>Gas (Lipigas / Abastible)</t>
  </si>
  <si>
    <t>Plan Claro (Pareja)</t>
  </si>
  <si>
    <t>Plan celular pareja</t>
  </si>
  <si>
    <t>Gasto Común Condominio</t>
  </si>
  <si>
    <t>Alimentación</t>
  </si>
  <si>
    <t>Supermercado Hogar Limache</t>
  </si>
  <si>
    <t>Presupuesto estimado hogar</t>
  </si>
  <si>
    <t>SUBTOTAL GASTOS BÁSICOS HOGAR (PAREJA)</t>
  </si>
  <si>
    <t>Compromisos</t>
  </si>
  <si>
    <t>Tarjeta Smart Visa</t>
  </si>
  <si>
    <t>Pago mensual recurrente</t>
  </si>
  <si>
    <t>SUBTOTAL COMPROMISOS PAREJA</t>
  </si>
  <si>
    <t>SIMULADOR DE SENSIBILIDAD ANTE ALZA DE SUELDO</t>
  </si>
  <si>
    <t>Evaluación de escenarios si tu renta líquida se incrementa en los próximos meses</t>
  </si>
  <si>
    <t>Escenario</t>
  </si>
  <si>
    <t>Sueldo Líquido Diego</t>
  </si>
  <si>
    <t>Gastos Fijos + Mascotas</t>
  </si>
  <si>
    <t>Operaciones Huasco</t>
  </si>
  <si>
    <t>Bolsillo Semanal</t>
  </si>
  <si>
    <t>Ahorro Base</t>
  </si>
  <si>
    <t>Reserva Oxígeno Libre</t>
  </si>
  <si>
    <t>% Tasa Ahorro Real</t>
  </si>
  <si>
    <t>Destino Recomendado del Excedente</t>
  </si>
  <si>
    <t>Base Actual (Mayo)</t>
  </si>
  <si>
    <t>Reconstruir Mercado Pago</t>
  </si>
  <si>
    <t>Escenario +$50k</t>
  </si>
  <si>
    <t>Subir bolsillo a $40k y $20k a ahorro</t>
  </si>
  <si>
    <t>Escenario +$100k</t>
  </si>
  <si>
    <t>Volver a bolsillo $45k y reforzar ahorro</t>
  </si>
  <si>
    <t>Escenario +$150k</t>
  </si>
  <si>
    <t>Acelerar Fondo Emergencia ($2.1M)</t>
  </si>
  <si>
    <t>Escenario +$200k</t>
  </si>
  <si>
    <t>Prepago capital Hipotecario o inversión</t>
  </si>
  <si>
    <t>Soledad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</si>
</sst>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1"/>
      <color rgb="FF1F4E78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i/>
      <sz val="9"/>
      <color rgb="FF59595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E78"/>
      </top>
      <bottom style="double">
        <color rgb="FF1F4E7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0" xfId="0" applyFont="1" applyFill="1" applyAlignment="1">
      <alignment horizontal="center" vertical="center"/>
    </xf>
    <xf numFmtId="0" fontId="5" fillId="0" borderId="1" xfId="0" applyFont="1" applyBorder="1"/>
    <xf numFmtId="164" fontId="5" fillId="0" borderId="1" xfId="0" applyNumberFormat="1" applyFont="1" applyBorder="1" applyAlignment="1">
      <alignment horizontal="right"/>
    </xf>
    <xf numFmtId="0" fontId="6" fillId="0" borderId="2" xfId="0" applyFont="1" applyBorder="1"/>
    <xf numFmtId="164" fontId="6" fillId="0" borderId="2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4" fontId="6" fillId="4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6" fillId="0" borderId="0" xfId="0" applyFont="1"/>
    <xf numFmtId="164" fontId="6" fillId="0" borderId="2" xfId="0" applyNumberFormat="1" applyFont="1" applyBorder="1"/>
    <xf numFmtId="0" fontId="4" fillId="3" borderId="0" xfId="0" applyFont="1" applyFill="1" applyAlignment="1">
      <alignment horizontal="center" vertical="center" wrapText="1"/>
    </xf>
    <xf numFmtId="0" fontId="3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3"/>
  <sheetViews>
    <sheetView topLeftCell="A9" workbookViewId="0">
      <selection activeCell="B22" sqref="B22"/>
    </sheetView>
  </sheetViews>
  <sheetFormatPr baseColWidth="10" defaultColWidth="8.7265625" defaultRowHeight="14.5" x14ac:dyDescent="0.35"/>
  <cols>
    <col min="1" max="1" width="3" customWidth="1"/>
    <col min="2" max="2" width="95" customWidth="1"/>
    <col min="3" max="3" width="30" customWidth="1"/>
    <col min="4" max="4" width="23" customWidth="1"/>
    <col min="5" max="5" width="33" customWidth="1"/>
    <col min="6" max="6" width="52" customWidth="1"/>
  </cols>
  <sheetData>
    <row r="2" spans="2:6" ht="21" x14ac:dyDescent="0.5">
      <c r="B2" s="1" t="s">
        <v>0</v>
      </c>
    </row>
    <row r="3" spans="2:6" x14ac:dyDescent="0.35">
      <c r="B3" s="2" t="s">
        <v>1</v>
      </c>
    </row>
    <row r="5" spans="2:6" x14ac:dyDescent="0.35">
      <c r="B5" s="19" t="s">
        <v>2</v>
      </c>
      <c r="C5" s="20"/>
      <c r="D5" s="20"/>
      <c r="E5" s="20"/>
      <c r="F5" s="20"/>
    </row>
    <row r="6" spans="2:6" x14ac:dyDescent="0.35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</row>
    <row r="7" spans="2:6" x14ac:dyDescent="0.35">
      <c r="B7" s="4" t="s">
        <v>8</v>
      </c>
      <c r="C7" s="4" t="s">
        <v>9</v>
      </c>
      <c r="D7" s="5">
        <v>1214038</v>
      </c>
      <c r="E7" s="5" t="str">
        <f>C7</f>
        <v>Sueldo Base Líquido</v>
      </c>
      <c r="F7" s="4" t="s">
        <v>10</v>
      </c>
    </row>
    <row r="8" spans="2:6" x14ac:dyDescent="0.35">
      <c r="B8" s="4" t="s">
        <v>143</v>
      </c>
      <c r="C8" s="4" t="s">
        <v>11</v>
      </c>
      <c r="D8" s="5">
        <v>0</v>
      </c>
      <c r="E8" s="5" t="str">
        <f>C8</f>
        <v>Aporte / Ingresos Estimados</v>
      </c>
      <c r="F8" s="4" t="s">
        <v>12</v>
      </c>
    </row>
    <row r="9" spans="2:6" x14ac:dyDescent="0.35">
      <c r="B9" s="6" t="s">
        <v>13</v>
      </c>
      <c r="C9" s="6"/>
      <c r="D9" s="7">
        <f>SUM(C7:C8)</f>
        <v>0</v>
      </c>
      <c r="E9" s="7">
        <f>SUM(D7:D8)</f>
        <v>1214038</v>
      </c>
      <c r="F9" s="6" t="s">
        <v>14</v>
      </c>
    </row>
    <row r="11" spans="2:6" x14ac:dyDescent="0.35">
      <c r="B11" s="19" t="s">
        <v>15</v>
      </c>
      <c r="C11" s="20"/>
      <c r="D11" s="20"/>
      <c r="E11" s="20"/>
      <c r="F11" s="20"/>
    </row>
    <row r="12" spans="2:6" x14ac:dyDescent="0.35">
      <c r="B12" s="3" t="s">
        <v>16</v>
      </c>
      <c r="C12" s="3" t="s">
        <v>17</v>
      </c>
      <c r="D12" s="3" t="s">
        <v>18</v>
      </c>
      <c r="E12" s="3" t="s">
        <v>19</v>
      </c>
      <c r="F12" s="3" t="s">
        <v>20</v>
      </c>
    </row>
    <row r="13" spans="2:6" x14ac:dyDescent="0.35">
      <c r="B13" s="4" t="s">
        <v>21</v>
      </c>
      <c r="C13" s="4" t="s">
        <v>8</v>
      </c>
      <c r="D13" s="4" t="s">
        <v>22</v>
      </c>
      <c r="E13" s="5">
        <f>SUM('Control Gastos'!D7:D16)</f>
        <v>0</v>
      </c>
      <c r="F13" s="8" t="e">
        <f>D13/$C$7</f>
        <v>#VALUE!</v>
      </c>
    </row>
    <row r="14" spans="2:6" x14ac:dyDescent="0.35">
      <c r="B14" s="4" t="s">
        <v>23</v>
      </c>
      <c r="C14" s="4" t="s">
        <v>8</v>
      </c>
      <c r="D14" s="4" t="s">
        <v>24</v>
      </c>
      <c r="E14" s="5">
        <f>SUM('Control Gastos'!D19:D22)</f>
        <v>0</v>
      </c>
      <c r="F14" s="8" t="e">
        <f>D14/$C$7</f>
        <v>#VALUE!</v>
      </c>
    </row>
    <row r="15" spans="2:6" x14ac:dyDescent="0.35">
      <c r="B15" s="4" t="s">
        <v>25</v>
      </c>
      <c r="C15" s="4" t="s">
        <v>8</v>
      </c>
      <c r="D15" s="4" t="s">
        <v>26</v>
      </c>
      <c r="E15" s="5">
        <f>SUM('Control Gastos'!D25:D25)</f>
        <v>0</v>
      </c>
      <c r="F15" s="8" t="e">
        <f>D15/$C$7</f>
        <v>#VALUE!</v>
      </c>
    </row>
    <row r="16" spans="2:6" x14ac:dyDescent="0.35">
      <c r="B16" s="4" t="s">
        <v>27</v>
      </c>
      <c r="C16" s="4" t="s">
        <v>8</v>
      </c>
      <c r="D16" s="4" t="s">
        <v>28</v>
      </c>
      <c r="E16" s="5">
        <f>SUM('Control Gastos'!D28:D28)</f>
        <v>0</v>
      </c>
      <c r="F16" s="8" t="e">
        <f>D16/$C$7</f>
        <v>#VALUE!</v>
      </c>
    </row>
    <row r="17" spans="2:6" x14ac:dyDescent="0.35">
      <c r="B17" s="4" t="s">
        <v>29</v>
      </c>
      <c r="C17" s="4" t="s">
        <v>143</v>
      </c>
      <c r="D17" s="4" t="s">
        <v>30</v>
      </c>
      <c r="E17" s="5">
        <f>SUM('Control Gastos'!E31:E36)</f>
        <v>0</v>
      </c>
      <c r="F17" s="9" t="s">
        <v>31</v>
      </c>
    </row>
    <row r="18" spans="2:6" x14ac:dyDescent="0.35">
      <c r="B18" s="4" t="s">
        <v>32</v>
      </c>
      <c r="C18" s="4" t="s">
        <v>143</v>
      </c>
      <c r="D18" s="4" t="s">
        <v>33</v>
      </c>
      <c r="E18" s="5">
        <f>SUM('Control Gastos'!E38:E38)</f>
        <v>0</v>
      </c>
      <c r="F18" s="9" t="s">
        <v>31</v>
      </c>
    </row>
    <row r="20" spans="2:6" x14ac:dyDescent="0.35">
      <c r="B20" s="19" t="s">
        <v>34</v>
      </c>
      <c r="C20" s="20"/>
      <c r="D20" s="20"/>
      <c r="E20" s="20"/>
      <c r="F20" s="20"/>
    </row>
    <row r="21" spans="2:6" x14ac:dyDescent="0.35">
      <c r="B21" s="10" t="s">
        <v>35</v>
      </c>
      <c r="C21" s="10"/>
      <c r="D21" s="11" t="e">
        <f>D13+D14+D15+D16</f>
        <v>#VALUE!</v>
      </c>
      <c r="E21" s="12" t="e">
        <f>C21/$C$7</f>
        <v>#VALUE!</v>
      </c>
      <c r="F21" s="10" t="s">
        <v>36</v>
      </c>
    </row>
    <row r="22" spans="2:6" x14ac:dyDescent="0.35">
      <c r="B22" s="10" t="s">
        <v>37</v>
      </c>
      <c r="C22" s="10"/>
      <c r="D22" s="13" t="e">
        <f>C7-C21</f>
        <v>#VALUE!</v>
      </c>
      <c r="E22" s="12" t="e">
        <f>C22/$C$7</f>
        <v>#VALUE!</v>
      </c>
      <c r="F22" s="10" t="s">
        <v>38</v>
      </c>
    </row>
    <row r="23" spans="2:6" x14ac:dyDescent="0.35">
      <c r="B23" s="10" t="s">
        <v>39</v>
      </c>
      <c r="C23" s="10"/>
      <c r="D23" s="11" t="e">
        <f>D17+D18</f>
        <v>#VALUE!</v>
      </c>
      <c r="E23" s="14" t="s">
        <v>40</v>
      </c>
      <c r="F23" s="10" t="s">
        <v>41</v>
      </c>
    </row>
  </sheetData>
  <mergeCells count="3">
    <mergeCell ref="B20:F20"/>
    <mergeCell ref="B11:F1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40"/>
  <sheetViews>
    <sheetView topLeftCell="A24" workbookViewId="0"/>
  </sheetViews>
  <sheetFormatPr baseColWidth="10" defaultColWidth="8.7265625" defaultRowHeight="14.5" x14ac:dyDescent="0.35"/>
  <cols>
    <col min="1" max="1" width="3" customWidth="1"/>
    <col min="2" max="2" width="65" customWidth="1"/>
    <col min="3" max="3" width="41" customWidth="1"/>
    <col min="4" max="4" width="23" customWidth="1"/>
    <col min="5" max="5" width="21" customWidth="1"/>
    <col min="6" max="6" width="22" customWidth="1"/>
    <col min="7" max="7" width="17" customWidth="1"/>
    <col min="8" max="10" width="19" customWidth="1"/>
    <col min="11" max="11" width="35" customWidth="1"/>
  </cols>
  <sheetData>
    <row r="2" spans="2:11" ht="21" x14ac:dyDescent="0.5">
      <c r="B2" s="1" t="s">
        <v>42</v>
      </c>
    </row>
    <row r="3" spans="2:11" x14ac:dyDescent="0.35">
      <c r="B3" s="2" t="s">
        <v>43</v>
      </c>
    </row>
    <row r="5" spans="2:11" x14ac:dyDescent="0.35">
      <c r="B5" s="3" t="s">
        <v>44</v>
      </c>
      <c r="C5" s="3" t="s">
        <v>45</v>
      </c>
      <c r="D5" s="3" t="s">
        <v>46</v>
      </c>
      <c r="E5" s="3" t="s">
        <v>47</v>
      </c>
      <c r="F5" s="3" t="s">
        <v>48</v>
      </c>
      <c r="G5" s="3" t="s">
        <v>49</v>
      </c>
      <c r="H5" s="3" t="s">
        <v>50</v>
      </c>
      <c r="I5" s="3" t="s">
        <v>51</v>
      </c>
      <c r="J5" s="3" t="s">
        <v>52</v>
      </c>
      <c r="K5" s="3" t="s">
        <v>53</v>
      </c>
    </row>
    <row r="7" spans="2:11" x14ac:dyDescent="0.35">
      <c r="B7" s="10" t="s">
        <v>54</v>
      </c>
      <c r="C7" s="4" t="s">
        <v>55</v>
      </c>
      <c r="D7" s="15" t="s">
        <v>56</v>
      </c>
      <c r="E7" s="5">
        <v>365000</v>
      </c>
      <c r="F7" s="5">
        <v>0</v>
      </c>
      <c r="G7" s="4" t="s">
        <v>22</v>
      </c>
      <c r="H7" s="5">
        <v>372317</v>
      </c>
      <c r="I7" s="5">
        <v>372558</v>
      </c>
      <c r="J7" s="5">
        <v>374199</v>
      </c>
      <c r="K7" s="15" t="s">
        <v>57</v>
      </c>
    </row>
    <row r="8" spans="2:11" x14ac:dyDescent="0.35">
      <c r="B8" s="10" t="s">
        <v>58</v>
      </c>
      <c r="C8" s="4" t="s">
        <v>59</v>
      </c>
      <c r="D8" s="15" t="s">
        <v>60</v>
      </c>
      <c r="E8" s="5">
        <v>95000</v>
      </c>
      <c r="F8" s="5">
        <v>0</v>
      </c>
      <c r="G8" s="4" t="s">
        <v>22</v>
      </c>
      <c r="H8" s="5">
        <v>95000</v>
      </c>
      <c r="I8" s="5">
        <v>95000</v>
      </c>
      <c r="J8" s="5">
        <v>95000</v>
      </c>
      <c r="K8" s="15" t="s">
        <v>61</v>
      </c>
    </row>
    <row r="9" spans="2:11" x14ac:dyDescent="0.35">
      <c r="B9" s="10" t="s">
        <v>58</v>
      </c>
      <c r="C9" s="4" t="s">
        <v>62</v>
      </c>
      <c r="D9" s="15" t="s">
        <v>63</v>
      </c>
      <c r="E9" s="5">
        <v>7000</v>
      </c>
      <c r="F9" s="5">
        <v>0</v>
      </c>
      <c r="G9" s="4" t="s">
        <v>22</v>
      </c>
      <c r="H9" s="5">
        <v>7000</v>
      </c>
      <c r="I9" s="5">
        <v>7000</v>
      </c>
      <c r="J9" s="5">
        <v>7000</v>
      </c>
      <c r="K9" s="15" t="s">
        <v>64</v>
      </c>
    </row>
    <row r="10" spans="2:11" x14ac:dyDescent="0.35">
      <c r="B10" s="10" t="s">
        <v>65</v>
      </c>
      <c r="C10" s="4" t="s">
        <v>66</v>
      </c>
      <c r="D10" s="15" t="s">
        <v>67</v>
      </c>
      <c r="E10" s="5">
        <v>40000</v>
      </c>
      <c r="F10" s="5">
        <v>0</v>
      </c>
      <c r="G10" s="4" t="s">
        <v>22</v>
      </c>
      <c r="H10" s="5">
        <v>40000</v>
      </c>
      <c r="I10" s="5">
        <v>40000</v>
      </c>
      <c r="J10" s="5">
        <v>40000</v>
      </c>
      <c r="K10" s="15" t="s">
        <v>68</v>
      </c>
    </row>
    <row r="11" spans="2:11" x14ac:dyDescent="0.35">
      <c r="B11" s="10" t="s">
        <v>69</v>
      </c>
      <c r="C11" s="4" t="s">
        <v>70</v>
      </c>
      <c r="D11" s="15" t="s">
        <v>71</v>
      </c>
      <c r="E11" s="5">
        <v>41900</v>
      </c>
      <c r="F11" s="5">
        <v>0</v>
      </c>
      <c r="G11" s="4" t="s">
        <v>22</v>
      </c>
      <c r="H11" s="5">
        <v>42000</v>
      </c>
      <c r="I11" s="5">
        <v>0</v>
      </c>
      <c r="J11" s="5">
        <v>42900</v>
      </c>
      <c r="K11" s="15" t="s">
        <v>72</v>
      </c>
    </row>
    <row r="12" spans="2:11" x14ac:dyDescent="0.35">
      <c r="B12" s="10" t="s">
        <v>69</v>
      </c>
      <c r="C12" s="4" t="s">
        <v>73</v>
      </c>
      <c r="D12" s="15" t="s">
        <v>71</v>
      </c>
      <c r="E12" s="5">
        <v>23200</v>
      </c>
      <c r="F12" s="5">
        <v>0</v>
      </c>
      <c r="G12" s="4" t="s">
        <v>22</v>
      </c>
      <c r="H12" s="5">
        <v>24900</v>
      </c>
      <c r="I12" s="5">
        <v>23200</v>
      </c>
      <c r="J12" s="5">
        <v>0</v>
      </c>
      <c r="K12" s="15" t="s">
        <v>72</v>
      </c>
    </row>
    <row r="13" spans="2:11" x14ac:dyDescent="0.35">
      <c r="B13" s="10" t="s">
        <v>74</v>
      </c>
      <c r="C13" s="4" t="s">
        <v>75</v>
      </c>
      <c r="D13" s="15" t="s">
        <v>71</v>
      </c>
      <c r="E13" s="5">
        <v>10388</v>
      </c>
      <c r="F13" s="5">
        <v>0</v>
      </c>
      <c r="G13" s="4" t="s">
        <v>22</v>
      </c>
      <c r="H13" s="5">
        <v>10388</v>
      </c>
      <c r="I13" s="5">
        <v>10388</v>
      </c>
      <c r="J13" s="5">
        <v>10388</v>
      </c>
      <c r="K13" s="15" t="s">
        <v>76</v>
      </c>
    </row>
    <row r="14" spans="2:11" x14ac:dyDescent="0.35">
      <c r="B14" s="10" t="s">
        <v>74</v>
      </c>
      <c r="C14" s="4" t="s">
        <v>77</v>
      </c>
      <c r="D14" s="15" t="s">
        <v>71</v>
      </c>
      <c r="E14" s="5">
        <v>6490</v>
      </c>
      <c r="F14" s="5">
        <v>0</v>
      </c>
      <c r="G14" s="4" t="s">
        <v>22</v>
      </c>
      <c r="H14" s="5">
        <v>6490</v>
      </c>
      <c r="I14" s="5">
        <v>6490</v>
      </c>
      <c r="J14" s="5">
        <v>6490</v>
      </c>
      <c r="K14" s="15" t="s">
        <v>76</v>
      </c>
    </row>
    <row r="15" spans="2:11" x14ac:dyDescent="0.35">
      <c r="B15" s="10" t="s">
        <v>78</v>
      </c>
      <c r="C15" s="4" t="s">
        <v>79</v>
      </c>
      <c r="D15" s="15" t="s">
        <v>80</v>
      </c>
      <c r="E15" s="5">
        <v>10000</v>
      </c>
      <c r="F15" s="5">
        <v>0</v>
      </c>
      <c r="G15" s="4" t="s">
        <v>22</v>
      </c>
      <c r="H15" s="5">
        <v>10000</v>
      </c>
      <c r="I15" s="5">
        <v>10000</v>
      </c>
      <c r="J15" s="5">
        <v>10000</v>
      </c>
      <c r="K15" s="15" t="s">
        <v>81</v>
      </c>
    </row>
    <row r="16" spans="2:11" x14ac:dyDescent="0.35">
      <c r="B16" s="10" t="s">
        <v>78</v>
      </c>
      <c r="C16" s="4" t="s">
        <v>82</v>
      </c>
      <c r="D16" s="15" t="s">
        <v>83</v>
      </c>
      <c r="E16" s="5">
        <v>10382</v>
      </c>
      <c r="F16" s="5">
        <v>0</v>
      </c>
      <c r="G16" s="4" t="s">
        <v>22</v>
      </c>
      <c r="H16" s="5">
        <v>9690</v>
      </c>
      <c r="I16" s="5">
        <v>9690</v>
      </c>
      <c r="J16" s="5">
        <v>9690</v>
      </c>
      <c r="K16" s="15" t="s">
        <v>81</v>
      </c>
    </row>
    <row r="17" spans="2:11" x14ac:dyDescent="0.35">
      <c r="B17" s="16" t="s">
        <v>84</v>
      </c>
      <c r="E17" s="17">
        <f>SUM(E7:E16)</f>
        <v>609360</v>
      </c>
    </row>
    <row r="19" spans="2:11" x14ac:dyDescent="0.35">
      <c r="B19" s="10" t="s">
        <v>85</v>
      </c>
      <c r="C19" s="4" t="s">
        <v>86</v>
      </c>
      <c r="D19" s="15" t="s">
        <v>71</v>
      </c>
      <c r="E19" s="5">
        <v>231500</v>
      </c>
      <c r="F19" s="5">
        <v>0</v>
      </c>
      <c r="G19" s="4" t="s">
        <v>24</v>
      </c>
      <c r="H19" s="5">
        <v>228500</v>
      </c>
      <c r="I19" s="5">
        <v>228500</v>
      </c>
      <c r="J19" s="5">
        <v>228500</v>
      </c>
      <c r="K19" s="15" t="s">
        <v>87</v>
      </c>
    </row>
    <row r="20" spans="2:11" x14ac:dyDescent="0.35">
      <c r="B20" s="10" t="s">
        <v>85</v>
      </c>
      <c r="C20" s="4" t="s">
        <v>88</v>
      </c>
      <c r="D20" s="15" t="s">
        <v>71</v>
      </c>
      <c r="E20" s="5">
        <v>25000</v>
      </c>
      <c r="F20" s="5">
        <v>0</v>
      </c>
      <c r="G20" s="4" t="s">
        <v>24</v>
      </c>
      <c r="H20" s="5">
        <v>25000</v>
      </c>
      <c r="I20" s="5">
        <v>25000</v>
      </c>
      <c r="J20" s="5">
        <v>25000</v>
      </c>
      <c r="K20" s="15" t="s">
        <v>89</v>
      </c>
    </row>
    <row r="21" spans="2:11" x14ac:dyDescent="0.35">
      <c r="B21" s="10" t="s">
        <v>85</v>
      </c>
      <c r="C21" s="4" t="s">
        <v>90</v>
      </c>
      <c r="D21" s="15" t="s">
        <v>71</v>
      </c>
      <c r="E21" s="5">
        <v>10000</v>
      </c>
      <c r="F21" s="5">
        <v>0</v>
      </c>
      <c r="G21" s="4" t="s">
        <v>24</v>
      </c>
      <c r="H21" s="5">
        <v>10000</v>
      </c>
      <c r="I21" s="5">
        <v>10000</v>
      </c>
      <c r="J21" s="5">
        <v>10000</v>
      </c>
      <c r="K21" s="15" t="s">
        <v>91</v>
      </c>
    </row>
    <row r="22" spans="2:11" x14ac:dyDescent="0.35">
      <c r="B22" s="10" t="s">
        <v>85</v>
      </c>
      <c r="C22" s="4" t="s">
        <v>92</v>
      </c>
      <c r="D22" s="15" t="s">
        <v>93</v>
      </c>
      <c r="E22" s="5">
        <v>33500</v>
      </c>
      <c r="F22" s="5">
        <v>0</v>
      </c>
      <c r="G22" s="4" t="s">
        <v>24</v>
      </c>
      <c r="H22" s="5">
        <v>32000</v>
      </c>
      <c r="I22" s="5">
        <v>32000</v>
      </c>
      <c r="J22" s="5">
        <v>32000</v>
      </c>
      <c r="K22" s="15" t="s">
        <v>94</v>
      </c>
    </row>
    <row r="23" spans="2:11" x14ac:dyDescent="0.35">
      <c r="B23" s="16" t="s">
        <v>95</v>
      </c>
      <c r="E23" s="17">
        <f>SUM(E19:E22)</f>
        <v>300000</v>
      </c>
    </row>
    <row r="25" spans="2:11" x14ac:dyDescent="0.35">
      <c r="B25" s="10" t="s">
        <v>96</v>
      </c>
      <c r="C25" s="4" t="s">
        <v>97</v>
      </c>
      <c r="D25" s="15" t="s">
        <v>98</v>
      </c>
      <c r="E25" s="5">
        <v>140000</v>
      </c>
      <c r="F25" s="5">
        <v>0</v>
      </c>
      <c r="G25" s="4" t="s">
        <v>26</v>
      </c>
      <c r="H25" s="5">
        <v>180000</v>
      </c>
      <c r="I25" s="5">
        <v>180000</v>
      </c>
      <c r="J25" s="5">
        <v>180000</v>
      </c>
      <c r="K25" s="15" t="s">
        <v>99</v>
      </c>
    </row>
    <row r="26" spans="2:11" x14ac:dyDescent="0.35">
      <c r="B26" s="16" t="s">
        <v>100</v>
      </c>
      <c r="E26" s="17">
        <f>SUM(E25:E25)</f>
        <v>140000</v>
      </c>
    </row>
    <row r="28" spans="2:11" x14ac:dyDescent="0.35">
      <c r="B28" s="10" t="s">
        <v>101</v>
      </c>
      <c r="C28" s="4" t="s">
        <v>102</v>
      </c>
      <c r="D28" s="15" t="s">
        <v>60</v>
      </c>
      <c r="E28" s="5">
        <v>130000</v>
      </c>
      <c r="F28" s="5">
        <v>0</v>
      </c>
      <c r="G28" s="4" t="s">
        <v>28</v>
      </c>
      <c r="H28" s="5">
        <v>130000</v>
      </c>
      <c r="I28" s="5">
        <v>130000</v>
      </c>
      <c r="J28" s="5">
        <v>130000</v>
      </c>
      <c r="K28" s="15" t="s">
        <v>103</v>
      </c>
    </row>
    <row r="29" spans="2:11" x14ac:dyDescent="0.35">
      <c r="B29" s="16" t="s">
        <v>104</v>
      </c>
      <c r="E29" s="17">
        <f>SUM(E28:E28)</f>
        <v>130000</v>
      </c>
    </row>
    <row r="31" spans="2:11" x14ac:dyDescent="0.35">
      <c r="B31" s="10" t="s">
        <v>105</v>
      </c>
      <c r="C31" s="4" t="s">
        <v>106</v>
      </c>
      <c r="D31" s="15" t="s">
        <v>71</v>
      </c>
      <c r="E31" s="5">
        <v>0</v>
      </c>
      <c r="F31" s="5">
        <v>33099</v>
      </c>
      <c r="G31" s="4" t="s">
        <v>33</v>
      </c>
      <c r="H31" s="5">
        <v>54618</v>
      </c>
      <c r="I31" s="5">
        <v>27604</v>
      </c>
      <c r="J31" s="5">
        <v>17075</v>
      </c>
      <c r="K31" s="15" t="s">
        <v>107</v>
      </c>
    </row>
    <row r="32" spans="2:11" x14ac:dyDescent="0.35">
      <c r="B32" s="10" t="s">
        <v>105</v>
      </c>
      <c r="C32" s="4" t="s">
        <v>108</v>
      </c>
      <c r="D32" s="15" t="s">
        <v>71</v>
      </c>
      <c r="E32" s="5">
        <v>0</v>
      </c>
      <c r="F32" s="5">
        <v>7843</v>
      </c>
      <c r="G32" s="4" t="s">
        <v>33</v>
      </c>
      <c r="H32" s="5">
        <v>8490</v>
      </c>
      <c r="I32" s="5">
        <v>7580</v>
      </c>
      <c r="J32" s="5">
        <v>7460</v>
      </c>
      <c r="K32" s="15" t="s">
        <v>109</v>
      </c>
    </row>
    <row r="33" spans="2:11" x14ac:dyDescent="0.35">
      <c r="B33" s="10" t="s">
        <v>105</v>
      </c>
      <c r="C33" s="4" t="s">
        <v>110</v>
      </c>
      <c r="D33" s="15" t="s">
        <v>71</v>
      </c>
      <c r="E33" s="5">
        <v>0</v>
      </c>
      <c r="F33" s="5">
        <v>25867</v>
      </c>
      <c r="G33" s="4" t="s">
        <v>33</v>
      </c>
      <c r="H33" s="5">
        <v>27800</v>
      </c>
      <c r="I33" s="5">
        <v>27600</v>
      </c>
      <c r="J33" s="5">
        <v>22200</v>
      </c>
      <c r="K33" s="15" t="s">
        <v>109</v>
      </c>
    </row>
    <row r="34" spans="2:11" x14ac:dyDescent="0.35">
      <c r="B34" s="10" t="s">
        <v>65</v>
      </c>
      <c r="C34" s="4" t="s">
        <v>111</v>
      </c>
      <c r="D34" s="15" t="s">
        <v>71</v>
      </c>
      <c r="E34" s="5">
        <v>0</v>
      </c>
      <c r="F34" s="5">
        <v>9922</v>
      </c>
      <c r="G34" s="4" t="s">
        <v>33</v>
      </c>
      <c r="H34" s="5">
        <v>9914</v>
      </c>
      <c r="I34" s="5">
        <v>9914</v>
      </c>
      <c r="J34" s="5">
        <v>9938</v>
      </c>
      <c r="K34" s="15" t="s">
        <v>112</v>
      </c>
    </row>
    <row r="35" spans="2:11" x14ac:dyDescent="0.35">
      <c r="B35" s="10" t="s">
        <v>105</v>
      </c>
      <c r="C35" s="4" t="s">
        <v>113</v>
      </c>
      <c r="D35" s="15" t="s">
        <v>71</v>
      </c>
      <c r="E35" s="5">
        <v>0</v>
      </c>
      <c r="F35" s="5">
        <v>52094</v>
      </c>
      <c r="G35" s="4" t="s">
        <v>33</v>
      </c>
      <c r="H35" s="5">
        <v>49957</v>
      </c>
      <c r="I35" s="5">
        <v>52597</v>
      </c>
      <c r="J35" s="5">
        <v>53728</v>
      </c>
      <c r="K35" s="15" t="s">
        <v>109</v>
      </c>
    </row>
    <row r="36" spans="2:11" x14ac:dyDescent="0.35">
      <c r="B36" s="10" t="s">
        <v>114</v>
      </c>
      <c r="C36" s="4" t="s">
        <v>115</v>
      </c>
      <c r="D36" s="15" t="s">
        <v>71</v>
      </c>
      <c r="E36" s="5">
        <v>0</v>
      </c>
      <c r="F36" s="5">
        <v>120000</v>
      </c>
      <c r="G36" s="4" t="s">
        <v>33</v>
      </c>
      <c r="H36" s="5">
        <v>119800</v>
      </c>
      <c r="I36" s="5">
        <v>0</v>
      </c>
      <c r="J36" s="5">
        <v>0</v>
      </c>
      <c r="K36" s="15" t="s">
        <v>116</v>
      </c>
    </row>
    <row r="37" spans="2:11" x14ac:dyDescent="0.35">
      <c r="B37" s="16" t="s">
        <v>117</v>
      </c>
      <c r="F37" s="17">
        <f>SUM(F31:F36)</f>
        <v>248825</v>
      </c>
    </row>
    <row r="39" spans="2:11" x14ac:dyDescent="0.35">
      <c r="B39" s="10" t="s">
        <v>118</v>
      </c>
      <c r="C39" s="4" t="s">
        <v>119</v>
      </c>
      <c r="D39" s="15" t="s">
        <v>71</v>
      </c>
      <c r="E39" s="5">
        <v>0</v>
      </c>
      <c r="F39" s="5">
        <v>106667</v>
      </c>
      <c r="G39" s="4" t="s">
        <v>33</v>
      </c>
      <c r="H39" s="5">
        <v>100000</v>
      </c>
      <c r="I39" s="5">
        <v>110000</v>
      </c>
      <c r="J39" s="5">
        <v>110000</v>
      </c>
      <c r="K39" s="15" t="s">
        <v>120</v>
      </c>
    </row>
    <row r="40" spans="2:11" x14ac:dyDescent="0.35">
      <c r="B40" s="16" t="s">
        <v>121</v>
      </c>
      <c r="F40" s="17">
        <f>SUM(F39:F39)</f>
        <v>106667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10"/>
  <sheetViews>
    <sheetView tabSelected="1" workbookViewId="0"/>
  </sheetViews>
  <sheetFormatPr baseColWidth="10" defaultColWidth="8.7265625" defaultRowHeight="14.5" x14ac:dyDescent="0.35"/>
  <cols>
    <col min="1" max="1" width="3" customWidth="1"/>
    <col min="2" max="2" width="83" customWidth="1"/>
    <col min="3" max="3" width="23" customWidth="1"/>
    <col min="4" max="4" width="26" customWidth="1"/>
    <col min="5" max="5" width="21" customWidth="1"/>
    <col min="6" max="6" width="19" customWidth="1"/>
    <col min="7" max="7" width="14" customWidth="1"/>
    <col min="8" max="8" width="25" customWidth="1"/>
    <col min="9" max="9" width="21" customWidth="1"/>
    <col min="10" max="10" width="43" customWidth="1"/>
  </cols>
  <sheetData>
    <row r="2" spans="2:10" ht="21" x14ac:dyDescent="0.5">
      <c r="B2" s="1" t="s">
        <v>122</v>
      </c>
    </row>
    <row r="3" spans="2:10" x14ac:dyDescent="0.35">
      <c r="B3" s="2" t="s">
        <v>123</v>
      </c>
    </row>
    <row r="5" spans="2:10" x14ac:dyDescent="0.35">
      <c r="B5" s="18" t="s">
        <v>124</v>
      </c>
      <c r="C5" s="18" t="s">
        <v>125</v>
      </c>
      <c r="D5" s="18" t="s">
        <v>126</v>
      </c>
      <c r="E5" s="18" t="s">
        <v>127</v>
      </c>
      <c r="F5" s="18" t="s">
        <v>128</v>
      </c>
      <c r="G5" s="18" t="s">
        <v>129</v>
      </c>
      <c r="H5" s="18" t="s">
        <v>130</v>
      </c>
      <c r="I5" s="18" t="s">
        <v>131</v>
      </c>
      <c r="J5" s="18" t="s">
        <v>132</v>
      </c>
    </row>
    <row r="6" spans="2:10" x14ac:dyDescent="0.35">
      <c r="B6" s="10" t="s">
        <v>133</v>
      </c>
      <c r="C6" s="5">
        <v>1214038</v>
      </c>
      <c r="D6" s="5">
        <v>609360</v>
      </c>
      <c r="E6" s="5">
        <v>300000</v>
      </c>
      <c r="F6" s="5">
        <v>140000</v>
      </c>
      <c r="G6" s="5">
        <v>130000</v>
      </c>
      <c r="H6" s="5">
        <f>C6-(D6+E6+F6+G6)</f>
        <v>34678</v>
      </c>
      <c r="I6" s="4">
        <f>(G6+H6)/C6</f>
        <v>0.13564484801958424</v>
      </c>
      <c r="J6" s="4" t="s">
        <v>134</v>
      </c>
    </row>
    <row r="7" spans="2:10" x14ac:dyDescent="0.35">
      <c r="B7" s="10" t="s">
        <v>135</v>
      </c>
      <c r="C7" s="5">
        <v>1264038</v>
      </c>
      <c r="D7" s="5">
        <v>609360</v>
      </c>
      <c r="E7" s="5">
        <v>300000</v>
      </c>
      <c r="F7" s="5">
        <v>160000</v>
      </c>
      <c r="G7" s="5">
        <v>150000</v>
      </c>
      <c r="H7" s="5">
        <f>C7-(D7+E7+F7+G7)</f>
        <v>44678</v>
      </c>
      <c r="I7" s="4">
        <f>(G7+H7)/C7</f>
        <v>0.15401277493239918</v>
      </c>
      <c r="J7" s="4" t="s">
        <v>136</v>
      </c>
    </row>
    <row r="8" spans="2:10" x14ac:dyDescent="0.35">
      <c r="B8" s="10" t="s">
        <v>137</v>
      </c>
      <c r="C8" s="5">
        <v>1314038</v>
      </c>
      <c r="D8" s="5">
        <v>609360</v>
      </c>
      <c r="E8" s="5">
        <v>300000</v>
      </c>
      <c r="F8" s="5">
        <v>180000</v>
      </c>
      <c r="G8" s="5">
        <v>180000</v>
      </c>
      <c r="H8" s="5">
        <f>C8-(D8+E8+F8+G8)</f>
        <v>44678</v>
      </c>
      <c r="I8" s="4">
        <f>(G8+H8)/C8</f>
        <v>0.17098287872953447</v>
      </c>
      <c r="J8" s="4" t="s">
        <v>138</v>
      </c>
    </row>
    <row r="9" spans="2:10" x14ac:dyDescent="0.35">
      <c r="B9" s="10" t="s">
        <v>139</v>
      </c>
      <c r="C9" s="5">
        <v>1364038</v>
      </c>
      <c r="D9" s="5">
        <v>609360</v>
      </c>
      <c r="E9" s="5">
        <v>300000</v>
      </c>
      <c r="F9" s="5">
        <v>180000</v>
      </c>
      <c r="G9" s="5">
        <v>220000</v>
      </c>
      <c r="H9" s="5">
        <f>C9-(D9+E9+F9+G9)</f>
        <v>54678</v>
      </c>
      <c r="I9" s="4">
        <f>(G9+H9)/C9</f>
        <v>0.20137122279584585</v>
      </c>
      <c r="J9" s="4" t="s">
        <v>140</v>
      </c>
    </row>
    <row r="10" spans="2:10" x14ac:dyDescent="0.35">
      <c r="B10" s="10" t="s">
        <v>141</v>
      </c>
      <c r="C10" s="5">
        <v>1414038</v>
      </c>
      <c r="D10" s="5">
        <v>609360</v>
      </c>
      <c r="E10" s="5">
        <v>300000</v>
      </c>
      <c r="F10" s="5">
        <v>180000</v>
      </c>
      <c r="G10" s="5">
        <v>250000</v>
      </c>
      <c r="H10" s="5">
        <f>C10-(D10+E10+F10+G10)</f>
        <v>74678</v>
      </c>
      <c r="I10" s="4">
        <f>(G10+H10)/C10</f>
        <v>0.22961051966071633</v>
      </c>
      <c r="J10" s="4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Ejecutivo</vt:lpstr>
      <vt:lpstr>Control Gastos</vt:lpstr>
      <vt:lpstr>Simulador Incremento Sueldo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Operadores Terreno TG</cp:lastModifiedBy>
  <dcterms:created xsi:type="dcterms:W3CDTF">2026-10-26T01:08:28Z</dcterms:created>
  <dcterms:modified xsi:type="dcterms:W3CDTF">2026-10-26T01:21:39Z</dcterms:modified>
</cp:coreProperties>
</file>