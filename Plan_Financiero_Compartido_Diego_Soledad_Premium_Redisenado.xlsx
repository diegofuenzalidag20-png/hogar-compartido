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y Control Mensual" sheetId="1" state="visible" r:id="rId1"/>
    <sheet xmlns:r="http://schemas.openxmlformats.org/officeDocument/2006/relationships" name="Dashboard Resumen" sheetId="2" state="visible" r:id="rId2"/>
    <sheet xmlns:r="http://schemas.openxmlformats.org/officeDocument/2006/relationships" name="Historico 2024-2025" sheetId="3" state="visible" r:id="rId3"/>
    <sheet xmlns:r="http://schemas.openxmlformats.org/officeDocument/2006/relationships" name="Control Gastos" sheetId="4" state="visible" r:id="rId4"/>
    <sheet xmlns:r="http://schemas.openxmlformats.org/officeDocument/2006/relationships" name="Simulador Crecimiento" sheetId="5" state="visible" r:id="rId5"/>
    <sheet xmlns:r="http://schemas.openxmlformats.org/officeDocument/2006/relationships" name="Guia de U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+&quot;$#,##0;&quot;-&quot;$#,##0;&quot;$0&quot;"/>
    <numFmt numFmtId="167" formatCode="+0.0%;-0.0%;0.0%"/>
  </numFmts>
  <fonts count="3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BD5E1"/>
      <sz val="9.5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E293B"/>
      <sz val="10"/>
    </font>
    <font>
      <name val="Calibri"/>
      <b val="1"/>
      <color rgb="000F172A"/>
      <sz val="10"/>
    </font>
    <font>
      <name val="Calibri"/>
      <b val="1"/>
      <color rgb="001D4ED8"/>
      <sz val="8.5"/>
    </font>
    <font>
      <name val="Calibri"/>
      <b val="1"/>
      <color rgb="001D4ED8"/>
      <sz val="16"/>
    </font>
    <font>
      <name val="Calibri"/>
      <color rgb="0064748B"/>
      <sz val="8"/>
    </font>
    <font>
      <name val="Calibri"/>
      <b val="1"/>
      <color rgb="00DC2626"/>
      <sz val="8.5"/>
    </font>
    <font>
      <name val="Calibri"/>
      <b val="1"/>
      <color rgb="00DC2626"/>
      <sz val="16"/>
    </font>
    <font>
      <name val="Calibri"/>
      <b val="1"/>
      <color rgb="00047857"/>
      <sz val="8.5"/>
    </font>
    <font>
      <name val="Calibri"/>
      <b val="1"/>
      <color rgb="000F172A"/>
      <sz val="16"/>
    </font>
    <font>
      <name val="Calibri"/>
      <b val="1"/>
      <color rgb="00B45309"/>
      <sz val="8.5"/>
    </font>
    <font>
      <name val="Calibri"/>
      <b val="1"/>
      <color rgb="007E22CE"/>
      <sz val="8.5"/>
    </font>
    <font>
      <name val="Calibri"/>
      <b val="1"/>
      <color rgb="00047857"/>
      <sz val="16"/>
    </font>
    <font>
      <name val="Calibri"/>
      <b val="1"/>
      <color rgb="00047857"/>
      <sz val="10"/>
    </font>
    <font>
      <name val="Calibri"/>
      <b val="1"/>
      <color rgb="000F172A"/>
      <sz val="9.5"/>
    </font>
    <font>
      <name val="Calibri"/>
      <b val="1"/>
      <color rgb="00713F12"/>
      <sz val="10.5"/>
    </font>
    <font>
      <name val="Calibri"/>
      <b val="1"/>
      <color rgb="0064748B"/>
      <sz val="9"/>
    </font>
    <font>
      <name val="Calibri"/>
      <b val="1"/>
      <color rgb="00047857"/>
      <sz val="9.5"/>
    </font>
    <font>
      <name val="Calibri"/>
      <i val="1"/>
      <color rgb="0064748B"/>
      <sz val="8.5"/>
    </font>
    <font>
      <name val="Calibri"/>
      <b val="1"/>
      <color rgb="00047857"/>
      <sz val="13"/>
    </font>
    <font>
      <name val="Calibri"/>
      <b val="1"/>
      <color rgb="000284C7"/>
      <sz val="8.5"/>
    </font>
    <font>
      <name val="Calibri"/>
      <b val="1"/>
      <color rgb="00713F12"/>
      <sz val="10"/>
    </font>
    <font>
      <name val="Calibri"/>
      <color rgb="001E293B"/>
      <sz val="9.5"/>
    </font>
    <font>
      <name val="Calibri"/>
      <b val="1"/>
      <color rgb="001D4ED8"/>
      <sz val="10"/>
    </font>
    <font>
      <name val="Calibri"/>
      <i val="1"/>
      <color rgb="0064748B"/>
      <sz val="9.5"/>
    </font>
    <font>
      <name val="Calibri"/>
      <b val="1"/>
      <color rgb="007E22CE"/>
      <sz val="10"/>
    </font>
    <font>
      <name val="Calibri"/>
      <color rgb="00334155"/>
      <sz val="9"/>
    </font>
    <font>
      <name val="Calibri"/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D4ED8"/>
        <bgColor rgb="001D4ED8"/>
      </patternFill>
    </fill>
    <fill>
      <patternFill patternType="solid">
        <fgColor rgb="00E2E8F0"/>
        <bgColor rgb="00E2E8F0"/>
      </patternFill>
    </fill>
    <fill>
      <patternFill patternType="solid">
        <fgColor rgb="00B45309"/>
        <bgColor rgb="00B45309"/>
      </patternFill>
    </fill>
    <fill>
      <patternFill patternType="solid">
        <fgColor rgb="00047857"/>
        <bgColor rgb="00047857"/>
      </patternFill>
    </fill>
    <fill>
      <patternFill patternType="solid">
        <fgColor rgb="007E22CE"/>
        <bgColor rgb="007E22CE"/>
      </patternFill>
    </fill>
    <fill>
      <patternFill patternType="solid">
        <fgColor rgb="00CBD5E1"/>
        <bgColor rgb="00CBD5E1"/>
      </patternFill>
    </fill>
    <fill>
      <patternFill patternType="solid">
        <fgColor rgb="00F8FAFC"/>
        <bgColor rgb="00F8FAFC"/>
      </patternFill>
    </fill>
    <fill>
      <patternFill patternType="solid">
        <fgColor rgb="00FEF08A"/>
        <bgColor rgb="00FEF08A"/>
      </patternFill>
    </fill>
    <fill>
      <patternFill patternType="solid">
        <fgColor rgb="00ECFDF5"/>
        <bgColor rgb="00ECFDF5"/>
      </patternFill>
    </fill>
    <fill>
      <patternFill patternType="solid">
        <fgColor rgb="00FEF9C3"/>
        <bgColor rgb="00FEF9C3"/>
      </patternFill>
    </fill>
    <fill>
      <patternFill patternType="solid">
        <fgColor rgb="00EFF6FF"/>
        <bgColor rgb="00EFF6FF"/>
      </patternFill>
    </fill>
    <fill>
      <patternFill patternType="solid">
        <fgColor rgb="00FAF5FF"/>
        <bgColor rgb="00FAF5FF"/>
      </patternFill>
    </fill>
    <fill>
      <patternFill patternType="solid">
        <fgColor rgb="00F1F5F9"/>
        <bgColor rgb="00F1F5F9"/>
      </patternFill>
    </fill>
  </fills>
  <borders count="1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  <border>
      <left style="medium">
        <color rgb="00CA8A04"/>
      </left>
      <right style="medium">
        <color rgb="00CA8A04"/>
      </right>
      <top style="medium">
        <color rgb="00CA8A04"/>
      </top>
      <bottom style="medium">
        <color rgb="00CA8A04"/>
      </bottom>
    </border>
    <border>
      <left style="medium">
        <color rgb="00CA8A04"/>
      </left>
      <right style="medium">
        <color rgb="00CA8A04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double">
        <color rgb="000F172A"/>
      </bottom>
      <diagonal/>
    </border>
    <border>
      <left/>
      <right style="thin">
        <color rgb="00CBD5E1"/>
      </right>
      <top style="thin">
        <color rgb="00CBD5E1"/>
      </top>
      <bottom style="double">
        <color rgb="000F172A"/>
      </bottom>
      <diagonal/>
    </border>
    <border>
      <left/>
      <right/>
      <top style="medium">
        <color rgb="000F172A"/>
      </top>
      <bottom/>
      <diagonal/>
    </border>
    <border>
      <left/>
      <right style="thin">
        <color rgb="00CBD5E1"/>
      </right>
      <top style="medium">
        <color rgb="000F172A"/>
      </top>
      <bottom/>
      <diagonal/>
    </border>
    <border>
      <left/>
      <right/>
      <top style="medium">
        <color rgb="000F172A"/>
      </top>
      <bottom style="double">
        <color rgb="000F172A"/>
      </bottom>
      <diagonal/>
    </border>
    <border>
      <left/>
      <right style="thin">
        <color rgb="00CBD5E1"/>
      </right>
      <top style="medium">
        <color rgb="000F172A"/>
      </top>
      <bottom style="double">
        <color rgb="000F172A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/>
      <top style="medium">
        <color rgb="00CA8A04"/>
      </top>
      <bottom/>
      <diagonal/>
    </border>
    <border>
      <left/>
      <right style="medium">
        <color rgb="00CA8A04"/>
      </right>
      <top style="medium">
        <color rgb="00CA8A04"/>
      </top>
      <bottom/>
      <diagonal/>
    </border>
    <border>
      <left/>
      <right style="medium">
        <color rgb="00CA8A04"/>
      </right>
      <top style="medium">
        <color rgb="00CA8A04"/>
      </top>
      <bottom style="medium">
        <color rgb="00CA8A0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 indent="1"/>
    </xf>
    <xf numFmtId="0" fontId="6" fillId="5" borderId="2" pivotButton="0" quotePrefix="0" xfId="0"/>
    <xf numFmtId="164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6" fillId="9" borderId="3" applyAlignment="1" pivotButton="0" quotePrefix="0" xfId="0">
      <alignment horizontal="right" vertical="center" indent="1"/>
    </xf>
    <xf numFmtId="0" fontId="6" fillId="9" borderId="3" pivotButton="0" quotePrefix="0" xfId="0"/>
    <xf numFmtId="164" fontId="6" fillId="9" borderId="3" applyAlignment="1" pivotButton="0" quotePrefix="0" xfId="0">
      <alignment horizontal="right" vertical="center"/>
    </xf>
    <xf numFmtId="165" fontId="6" fillId="9" borderId="3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164" fontId="13" fillId="10" borderId="1" applyAlignment="1" pivotButton="0" quotePrefix="0" xfId="0">
      <alignment horizontal="center" vertical="center"/>
    </xf>
    <xf numFmtId="164" fontId="16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6" fillId="5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7" fillId="9" borderId="3" applyAlignment="1" pivotButton="0" quotePrefix="0" xfId="0">
      <alignment horizontal="center" vertical="center"/>
    </xf>
    <xf numFmtId="164" fontId="17" fillId="9" borderId="3" applyAlignment="1" pivotButton="0" quotePrefix="0" xfId="0">
      <alignment horizontal="right" vertical="center"/>
    </xf>
    <xf numFmtId="165" fontId="17" fillId="9" borderId="3" applyAlignment="1" pivotButton="0" quotePrefix="0" xfId="0">
      <alignment horizontal="right" vertical="center"/>
    </xf>
    <xf numFmtId="0" fontId="18" fillId="5" borderId="1" applyAlignment="1" pivotButton="0" quotePrefix="0" xfId="0">
      <alignment horizontal="right" vertical="center" indent="1"/>
    </xf>
    <xf numFmtId="0" fontId="19" fillId="11" borderId="4" applyAlignment="1" pivotButton="0" quotePrefix="0" xfId="0">
      <alignment horizontal="center" vertical="center"/>
    </xf>
    <xf numFmtId="0" fontId="0" fillId="0" borderId="4" pivotButton="0" quotePrefix="0" xfId="0"/>
    <xf numFmtId="0" fontId="20" fillId="10" borderId="1" applyAlignment="1" pivotButton="0" quotePrefix="0" xfId="0">
      <alignment horizontal="right" vertical="center"/>
    </xf>
    <xf numFmtId="0" fontId="18" fillId="10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166" fontId="13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right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center" vertical="center"/>
    </xf>
    <xf numFmtId="164" fontId="26" fillId="0" borderId="1" applyAlignment="1" pivotButton="0" quotePrefix="0" xfId="0">
      <alignment horizontal="right" vertical="center"/>
    </xf>
    <xf numFmtId="164" fontId="5" fillId="13" borderId="5" applyAlignment="1" pivotButton="0" quotePrefix="0" xfId="0">
      <alignment horizontal="right" vertical="center"/>
    </xf>
    <xf numFmtId="166" fontId="26" fillId="0" borderId="1" applyAlignment="1" pivotButton="0" quotePrefix="0" xfId="0">
      <alignment horizontal="right" vertical="center"/>
    </xf>
    <xf numFmtId="167" fontId="26" fillId="0" borderId="1" applyAlignment="1" pivotButton="0" quotePrefix="0" xfId="0">
      <alignment horizontal="right" vertical="center"/>
    </xf>
    <xf numFmtId="0" fontId="28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/>
    </xf>
    <xf numFmtId="164" fontId="28" fillId="0" borderId="1" applyAlignment="1" pivotButton="0" quotePrefix="0" xfId="0">
      <alignment horizontal="right" vertical="center"/>
    </xf>
    <xf numFmtId="166" fontId="28" fillId="0" borderId="1" applyAlignment="1" pivotButton="0" quotePrefix="0" xfId="0">
      <alignment horizontal="right" vertical="center"/>
    </xf>
    <xf numFmtId="167" fontId="28" fillId="0" borderId="1" applyAlignment="1" pivotButton="0" quotePrefix="0" xfId="0">
      <alignment horizontal="right" vertical="center"/>
    </xf>
    <xf numFmtId="0" fontId="5" fillId="14" borderId="2" applyAlignment="1" pivotButton="0" quotePrefix="0" xfId="0">
      <alignment horizontal="right" vertical="center" indent="1"/>
    </xf>
    <xf numFmtId="0" fontId="5" fillId="14" borderId="2" pivotButton="0" quotePrefix="0" xfId="0"/>
    <xf numFmtId="164" fontId="5" fillId="14" borderId="2" applyAlignment="1" pivotButton="0" quotePrefix="0" xfId="0">
      <alignment horizontal="right" vertical="center"/>
    </xf>
    <xf numFmtId="166" fontId="5" fillId="14" borderId="2" applyAlignment="1" pivotButton="0" quotePrefix="0" xfId="0">
      <alignment horizontal="right" vertical="center"/>
    </xf>
    <xf numFmtId="167" fontId="5" fillId="14" borderId="2" applyAlignment="1" pivotButton="0" quotePrefix="0" xfId="0">
      <alignment horizontal="right" vertical="center"/>
    </xf>
    <xf numFmtId="0" fontId="5" fillId="14" borderId="2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5" fillId="15" borderId="2" applyAlignment="1" pivotButton="0" quotePrefix="0" xfId="0">
      <alignment horizontal="right" vertical="center" indent="1"/>
    </xf>
    <xf numFmtId="0" fontId="5" fillId="15" borderId="2" pivotButton="0" quotePrefix="0" xfId="0"/>
    <xf numFmtId="164" fontId="5" fillId="15" borderId="2" applyAlignment="1" pivotButton="0" quotePrefix="0" xfId="0">
      <alignment horizontal="right" vertical="center"/>
    </xf>
    <xf numFmtId="166" fontId="5" fillId="15" borderId="2" applyAlignment="1" pivotButton="0" quotePrefix="0" xfId="0">
      <alignment horizontal="right" vertical="center"/>
    </xf>
    <xf numFmtId="167" fontId="5" fillId="15" borderId="2" applyAlignment="1" pivotButton="0" quotePrefix="0" xfId="0">
      <alignment horizontal="right" vertical="center"/>
    </xf>
    <xf numFmtId="0" fontId="5" fillId="15" borderId="2" applyAlignment="1" pivotButton="0" quotePrefix="0" xfId="0">
      <alignment horizontal="center" vertical="center"/>
    </xf>
    <xf numFmtId="166" fontId="6" fillId="9" borderId="3" applyAlignment="1" pivotButton="0" quotePrefix="0" xfId="0">
      <alignment horizontal="right" vertical="center"/>
    </xf>
    <xf numFmtId="167" fontId="6" fillId="9" borderId="3" applyAlignment="1" pivotButton="0" quotePrefix="0" xfId="0">
      <alignment horizontal="right" vertical="center"/>
    </xf>
    <xf numFmtId="0" fontId="6" fillId="9" borderId="3" applyAlignment="1" pivotButton="0" quotePrefix="0" xfId="0">
      <alignment horizontal="center" vertical="center"/>
    </xf>
    <xf numFmtId="0" fontId="27" fillId="14" borderId="1" applyAlignment="1" pivotButton="0" quotePrefix="0" xfId="0">
      <alignment horizontal="left" vertical="center" indent="1"/>
    </xf>
    <xf numFmtId="0" fontId="30" fillId="16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/>
    </xf>
    <xf numFmtId="0" fontId="3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8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Comparativa Mensual: Presupuesto Base vs Gasto Real Ingresado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'Registro y Control Mensual'!$F$11:$G$11</f>
            </numRef>
          </cat>
          <val>
            <numRef>
              <f>'Registro y Control Mensual'!$F$42:$G$42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 de Análisis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0000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en CLP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Gastos por Cofre / Cuenta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Resumen'!E17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Resumen'!$B$18:$B$23</f>
            </numRef>
          </cat>
          <val>
            <numRef>
              <f>'Dashboard Resumen'!$E$18:$E$23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Aporte Financiero Real por Integrante (Sueldo Líquido)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Resumen'!E10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Resumen'!$B$11:$B$12</f>
            </numRef>
          </cat>
          <val>
            <numRef>
              <f>'Dashboard Resumen'!$E$11:$E$12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Integrante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000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Mensual (CLP)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Real de Cuentas Pagadas del Hogar (14 Meses Históricos)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'Historico 2024-2025'!$F$5:$S$5</f>
            </numRef>
          </cat>
          <val>
            <numRef>
              <f>'Historico 2024-2025'!$F$19:$S$19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5000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Cuentas Hogar (CLP)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47</row>
      <rowOff>0</rowOff>
    </from>
    <ext cx="72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8</row>
      <rowOff>0</rowOff>
    </from>
    <ext cx="792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21</row>
      <rowOff>0</rowOff>
    </from>
    <ext cx="936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6" customWidth="1" min="3" max="3"/>
    <col width="32" customWidth="1" min="4" max="4"/>
    <col width="12" customWidth="1" min="5" max="5"/>
    <col width="18" customWidth="1" min="6" max="6"/>
    <col width="18" customWidth="1" min="7" max="7"/>
    <col width="16" customWidth="1" min="8" max="8"/>
    <col width="14" customWidth="1" min="9" max="9"/>
    <col width="18" customWidth="1" min="10" max="10"/>
    <col width="18" customWidth="1" min="11" max="11"/>
    <col width="28" customWidth="1" min="12" max="12"/>
  </cols>
  <sheetData>
    <row r="1" ht="14" customHeight="1"/>
    <row r="2" ht="36" customHeight="1">
      <c r="B2" s="1" t="inlineStr">
        <is>
          <t>📝 REGISTRO Y AUDITORÍA MENSUAL DE CUENTAS — DIEGO &amp; SOLEDAD</t>
        </is>
      </c>
    </row>
    <row r="3" ht="20" customHeight="1">
      <c r="B3" s="2" t="inlineStr">
        <is>
          <t>Pestaña activa al entrar: ingresen aquí las boletas pagadas del mes. Al lado ven el presupuesto real y el semáforo avisa si varió demasiado.</t>
        </is>
      </c>
    </row>
    <row r="4" ht="28" customHeight="1">
      <c r="B4" s="44" t="inlineStr">
        <is>
          <t>🗓️ MES EN AUDITORÍA:</t>
        </is>
      </c>
      <c r="C4" s="88" t="n"/>
      <c r="D4" s="45" t="inlineStr">
        <is>
          <t>Octubre 2026 (En Curso)</t>
        </is>
      </c>
      <c r="E4" s="89" t="n"/>
      <c r="F4" s="47" t="inlineStr">
        <is>
          <t>📅 FECHA ACTUALIZACIÓN:</t>
        </is>
      </c>
      <c r="G4" s="88" t="n"/>
      <c r="H4" s="48" t="inlineStr">
        <is>
          <t>26/10/2026</t>
        </is>
      </c>
      <c r="I4" s="49" t="inlineStr">
        <is>
          <t>🟢 Estado: Mes Abierto</t>
        </is>
      </c>
      <c r="J4" s="88" t="n"/>
      <c r="K4" s="50" t="inlineStr">
        <is>
          <t>💡 Al terminar: duplica la hoja para archivar</t>
        </is>
      </c>
      <c r="L4" s="88" t="n"/>
    </row>
    <row r="5" ht="10" customHeight="1"/>
    <row r="6" ht="20" customHeight="1">
      <c r="B6" s="22" t="inlineStr">
        <is>
          <t>PRESUPUESTO META HOGAR</t>
        </is>
      </c>
      <c r="C6" s="88" t="n"/>
      <c r="D6" s="26" t="inlineStr">
        <is>
          <t>✏️ REAL MES ACTIVO</t>
        </is>
      </c>
      <c r="E6" s="88" t="n"/>
      <c r="F6" s="24" t="inlineStr">
        <is>
          <t>DESVÍO NETO HOGAR</t>
        </is>
      </c>
      <c r="G6" s="88" t="n"/>
      <c r="H6" s="25" t="inlineStr">
        <is>
          <t>SEMÁFORO DEL MES</t>
        </is>
      </c>
      <c r="I6" s="88" t="n"/>
      <c r="J6" s="51" t="inlineStr">
        <is>
          <t>EXCEDENTE LIBRE FAMILIAR</t>
        </is>
      </c>
      <c r="K6" s="90" t="n"/>
      <c r="L6" s="88" t="n"/>
    </row>
    <row r="7" ht="30" customHeight="1">
      <c r="B7" s="30">
        <f>'Dashboard Resumen'!D31</f>
        <v/>
      </c>
      <c r="C7" s="88" t="n"/>
      <c r="D7" s="30">
        <f>G42</f>
        <v/>
      </c>
      <c r="E7" s="88" t="n"/>
      <c r="F7" s="52">
        <f>G42-F42</f>
        <v/>
      </c>
      <c r="G7" s="88" t="n"/>
      <c r="H7" s="53">
        <f>IF(G42=0,"⚪ Pendiente", IF((G42-F42)&gt;25000,"🔴 Desvío Total Alto", IF((G42-F42)&gt;10000,"🟡 Alerta Moderada", IF((G42-F42)&lt;-10000,"💎 Superávit Hogar","🟢 En Presupuesto"))))</f>
        <v/>
      </c>
      <c r="I7" s="88" t="n"/>
      <c r="J7" s="30">
        <f>'Dashboard Resumen'!E31-(G42-F42)</f>
        <v/>
      </c>
      <c r="K7" s="90" t="n"/>
      <c r="L7" s="88" t="n"/>
    </row>
    <row r="8" ht="18" customHeight="1">
      <c r="B8" s="32" t="inlineStr">
        <is>
          <t>Plan base mensual acordado</t>
        </is>
      </c>
      <c r="C8" s="88" t="n"/>
      <c r="D8" s="32" t="inlineStr">
        <is>
          <t>Total boletas ingresadas</t>
        </is>
      </c>
      <c r="E8" s="88" t="n"/>
      <c r="F8" s="32" t="inlineStr">
        <is>
          <t>Diferencia acumulada vs meta</t>
        </is>
      </c>
      <c r="G8" s="88" t="n"/>
      <c r="H8" s="32" t="inlineStr">
        <is>
          <t>Diagnóstico de variación</t>
        </is>
      </c>
      <c r="I8" s="88" t="n"/>
      <c r="J8" s="32" t="inlineStr">
        <is>
          <t>Capacidad de ahorro real del hogar</t>
        </is>
      </c>
      <c r="K8" s="90" t="n"/>
      <c r="L8" s="88" t="n"/>
    </row>
    <row r="9" ht="12" customHeight="1"/>
    <row r="10" ht="24" customHeight="1">
      <c r="B10" s="38" t="inlineStr">
        <is>
          <t>TABLA DE INGRESO MENSUAL: COMPARATIVA VS META Y SEMÁFORO DE VARIACIÓN</t>
        </is>
      </c>
      <c r="C10" s="90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88" t="n"/>
    </row>
    <row r="11" ht="24" customHeight="1">
      <c r="B11" s="4" t="inlineStr">
        <is>
          <t>#</t>
        </is>
      </c>
      <c r="C11" s="5" t="inlineStr">
        <is>
          <t>Categoría</t>
        </is>
      </c>
      <c r="D11" s="5" t="inlineStr">
        <is>
          <t>Concepto / Servicio</t>
        </is>
      </c>
      <c r="E11" s="4" t="inlineStr">
        <is>
          <t>Resp.</t>
        </is>
      </c>
      <c r="F11" s="6" t="inlineStr">
        <is>
          <t>Presupuesto Meta</t>
        </is>
      </c>
      <c r="G11" s="54" t="inlineStr">
        <is>
          <t>✏️ Real Mes Activo</t>
        </is>
      </c>
      <c r="H11" s="6" t="inlineStr">
        <is>
          <t>Diferencia ($)</t>
        </is>
      </c>
      <c r="I11" s="6" t="inlineStr">
        <is>
          <t>Variación (%)</t>
        </is>
      </c>
      <c r="J11" s="4" t="inlineStr">
        <is>
          <t>Semáforo / Alerta</t>
        </is>
      </c>
      <c r="K11" s="6" t="inlineStr">
        <is>
          <t>Promedio 14 Meses</t>
        </is>
      </c>
      <c r="L11" s="5" t="inlineStr">
        <is>
          <t>Notas / Causa de Variación</t>
        </is>
      </c>
    </row>
    <row r="12" ht="22" customHeight="1">
      <c r="B12" s="55" t="n">
        <v>1</v>
      </c>
      <c r="C12" s="56" t="inlineStr">
        <is>
          <t>Vivienda</t>
        </is>
      </c>
      <c r="D12" s="56" t="inlineStr">
        <is>
          <t>Crédito Hipotecario (Base en UF)</t>
        </is>
      </c>
      <c r="E12" s="57" t="inlineStr">
        <is>
          <t>Diego</t>
        </is>
      </c>
      <c r="F12" s="58" t="n">
        <v>360000</v>
      </c>
      <c r="G12" s="59" t="n">
        <v>360181</v>
      </c>
      <c r="H12" s="60">
        <f>IF(OR(G12="",G12=0),"-", G12-IF(F12="",0,F12))</f>
        <v/>
      </c>
      <c r="I12" s="61">
        <f>IF(OR(G12="",F12="",F12=0),"-", IFERROR((G12-F12)/F12, 0))</f>
        <v/>
      </c>
      <c r="J12" s="55">
        <f>IF(OR(G12="",G12=0),"-", IF(H12&gt;15000,"🔴 Desvío Fuerte", IF(I12&gt;0.08,"🟡 Alerta (+8%)", IF(H12&lt;-5000,"💎 Ahorro","🟢 En Rango"))))</f>
        <v/>
      </c>
      <c r="K12" s="58" t="n">
        <v>354730</v>
      </c>
      <c r="L12" s="56" t="inlineStr">
        <is>
          <t>Alza gradual según valor UF</t>
        </is>
      </c>
    </row>
    <row r="13" ht="22" customHeight="1">
      <c r="B13" s="55" t="n">
        <v>2</v>
      </c>
      <c r="C13" s="56" t="inlineStr">
        <is>
          <t>Vivienda Huasco</t>
        </is>
      </c>
      <c r="D13" s="56" t="inlineStr">
        <is>
          <t>Arriendo Habitación Huasco</t>
        </is>
      </c>
      <c r="E13" s="57" t="inlineStr">
        <is>
          <t>Diego</t>
        </is>
      </c>
      <c r="F13" s="58" t="n">
        <v>95000</v>
      </c>
      <c r="G13" s="59" t="n">
        <v>95000</v>
      </c>
      <c r="H13" s="60">
        <f>IF(OR(G13="",G13=0),"-", G13-IF(F13="",0,F13))</f>
        <v/>
      </c>
      <c r="I13" s="61">
        <f>IF(OR(G13="",F13="",F13=0),"-", IFERROR((G13-F13)/F13, 0))</f>
        <v/>
      </c>
      <c r="J13" s="55">
        <f>IF(OR(G13="",G13=0),"-", IF(H13&gt;15000,"🔴 Desvío Fuerte", IF(I13&gt;0.08,"🟡 Alerta (+8%)", IF(H13&lt;-5000,"💎 Ahorro","🟢 En Rango"))))</f>
        <v/>
      </c>
      <c r="K13" s="58" t="n">
        <v>95000</v>
      </c>
      <c r="L13" s="56" t="inlineStr">
        <is>
          <t>Costo fijo mensual</t>
        </is>
      </c>
    </row>
    <row r="14" ht="22" customHeight="1">
      <c r="B14" s="55" t="n">
        <v>3</v>
      </c>
      <c r="C14" s="56" t="inlineStr">
        <is>
          <t>Vivienda Huasco</t>
        </is>
      </c>
      <c r="D14" s="56" t="inlineStr">
        <is>
          <t>Servicios Huasco (Luz y Agua)</t>
        </is>
      </c>
      <c r="E14" s="57" t="inlineStr">
        <is>
          <t>Diego</t>
        </is>
      </c>
      <c r="F14" s="58" t="n">
        <v>7000</v>
      </c>
      <c r="G14" s="59" t="n">
        <v>7000</v>
      </c>
      <c r="H14" s="60">
        <f>IF(OR(G14="",G14=0),"-", G14-IF(F14="",0,F14))</f>
        <v/>
      </c>
      <c r="I14" s="61">
        <f>IF(OR(G14="",F14="",F14=0),"-", IFERROR((G14-F14)/F14, 0))</f>
        <v/>
      </c>
      <c r="J14" s="55">
        <f>IF(OR(G14="",G14=0),"-", IF(H14&gt;15000,"🔴 Desvío Fuerte", IF(I14&gt;0.08,"🟡 Alerta (+8%)", IF(H14&lt;-5000,"💎 Ahorro","🟢 En Rango"))))</f>
        <v/>
      </c>
      <c r="K14" s="58" t="n">
        <v>7000</v>
      </c>
      <c r="L14" s="56" t="inlineStr">
        <is>
          <t>Promedio constante</t>
        </is>
      </c>
    </row>
    <row r="15" ht="22" customHeight="1">
      <c r="B15" s="55" t="n">
        <v>4</v>
      </c>
      <c r="C15" s="56" t="inlineStr">
        <is>
          <t>Conectividad</t>
        </is>
      </c>
      <c r="D15" s="56" t="inlineStr">
        <is>
          <t>Internet + Planes Celular (Diego)</t>
        </is>
      </c>
      <c r="E15" s="57" t="inlineStr">
        <is>
          <t>Diego</t>
        </is>
      </c>
      <c r="F15" s="58" t="n">
        <v>40000</v>
      </c>
      <c r="G15" s="59" t="n">
        <v>40000</v>
      </c>
      <c r="H15" s="60">
        <f>IF(OR(G15="",G15=0),"-", G15-IF(F15="",0,F15))</f>
        <v/>
      </c>
      <c r="I15" s="61">
        <f>IF(OR(G15="",F15="",F15=0),"-", IFERROR((G15-F15)/F15, 0))</f>
        <v/>
      </c>
      <c r="J15" s="55">
        <f>IF(OR(G15="",G15=0),"-", IF(H15&gt;15000,"🔴 Desvío Fuerte", IF(I15&gt;0.08,"🟡 Alerta (+8%)", IF(H15&lt;-5000,"💎 Ahorro","🟢 En Rango"))))</f>
        <v/>
      </c>
      <c r="K15" s="58" t="n">
        <v>40000</v>
      </c>
      <c r="L15" s="56" t="inlineStr">
        <is>
          <t>Fijo recurrente</t>
        </is>
      </c>
    </row>
    <row r="16" ht="22" customHeight="1">
      <c r="B16" s="55" t="n">
        <v>5</v>
      </c>
      <c r="C16" s="56" t="inlineStr">
        <is>
          <t>Mascotas</t>
        </is>
      </c>
      <c r="D16" s="56" t="inlineStr">
        <is>
          <t>Comida Michis</t>
        </is>
      </c>
      <c r="E16" s="57" t="inlineStr">
        <is>
          <t>Diego</t>
        </is>
      </c>
      <c r="F16" s="58" t="n">
        <v>42000</v>
      </c>
      <c r="G16" s="59" t="n">
        <v>42000</v>
      </c>
      <c r="H16" s="60">
        <f>IF(OR(G16="",G16=0),"-", G16-IF(F16="",0,F16))</f>
        <v/>
      </c>
      <c r="I16" s="61">
        <f>IF(OR(G16="",F16="",F16=0),"-", IFERROR((G16-F16)/F16, 0))</f>
        <v/>
      </c>
      <c r="J16" s="55">
        <f>IF(OR(G16="",G16=0),"-", IF(H16&gt;15000,"🔴 Desvío Fuerte", IF(I16&gt;0.08,"🟡 Alerta (+8%)", IF(H16&lt;-5000,"💎 Ahorro","🟢 En Rango"))))</f>
        <v/>
      </c>
      <c r="K16" s="58" t="n">
        <v>42200</v>
      </c>
      <c r="L16" s="56" t="inlineStr">
        <is>
          <t>Asumido por Diego (~$40k-$42k)</t>
        </is>
      </c>
    </row>
    <row r="17" ht="22" customHeight="1">
      <c r="B17" s="55" t="n">
        <v>6</v>
      </c>
      <c r="C17" s="56" t="inlineStr">
        <is>
          <t>Mascotas</t>
        </is>
      </c>
      <c r="D17" s="56" t="inlineStr">
        <is>
          <t>Arena Sanitaria Michis</t>
        </is>
      </c>
      <c r="E17" s="57" t="inlineStr">
        <is>
          <t>Diego</t>
        </is>
      </c>
      <c r="F17" s="58" t="n">
        <v>20000</v>
      </c>
      <c r="G17" s="59" t="n">
        <v>20000</v>
      </c>
      <c r="H17" s="60">
        <f>IF(OR(G17="",G17=0),"-", G17-IF(F17="",0,F17))</f>
        <v/>
      </c>
      <c r="I17" s="61">
        <f>IF(OR(G17="",F17="",F17=0),"-", IFERROR((G17-F17)/F17, 0))</f>
        <v/>
      </c>
      <c r="J17" s="55">
        <f>IF(OR(G17="",G17=0),"-", IF(H17&gt;15000,"🔴 Desvío Fuerte", IF(I17&gt;0.08,"🟡 Alerta (+8%)", IF(H17&lt;-5000,"💎 Ahorro","🟢 En Rango"))))</f>
        <v/>
      </c>
      <c r="K17" s="58" t="n">
        <v>20163</v>
      </c>
      <c r="L17" s="56" t="inlineStr">
        <is>
          <t>Compra mensual/bimestral</t>
        </is>
      </c>
    </row>
    <row r="18" ht="22" customHeight="1">
      <c r="B18" s="55" t="n">
        <v>7</v>
      </c>
      <c r="C18" s="56" t="inlineStr">
        <is>
          <t>Streaming</t>
        </is>
      </c>
      <c r="D18" s="56" t="inlineStr">
        <is>
          <t>Netflix</t>
        </is>
      </c>
      <c r="E18" s="57" t="inlineStr">
        <is>
          <t>Diego</t>
        </is>
      </c>
      <c r="F18" s="58" t="n">
        <v>10388</v>
      </c>
      <c r="G18" s="59" t="n">
        <v>10388</v>
      </c>
      <c r="H18" s="60">
        <f>IF(OR(G18="",G18=0),"-", G18-IF(F18="",0,F18))</f>
        <v/>
      </c>
      <c r="I18" s="61">
        <f>IF(OR(G18="",F18="",F18=0),"-", IFERROR((G18-F18)/F18, 0))</f>
        <v/>
      </c>
      <c r="J18" s="55">
        <f>IF(OR(G18="",G18=0),"-", IF(H18&gt;15000,"🔴 Desvío Fuerte", IF(I18&gt;0.08,"🟡 Alerta (+8%)", IF(H18&lt;-5000,"💎 Ahorro","🟢 En Rango"))))</f>
        <v/>
      </c>
      <c r="K18" s="58" t="n">
        <v>10388</v>
      </c>
      <c r="L18" s="56" t="inlineStr">
        <is>
          <t>Tarifa fija recurrente</t>
        </is>
      </c>
    </row>
    <row r="19" ht="22" customHeight="1">
      <c r="B19" s="55" t="n">
        <v>8</v>
      </c>
      <c r="C19" s="56" t="inlineStr">
        <is>
          <t>Streaming</t>
        </is>
      </c>
      <c r="D19" s="56" t="inlineStr">
        <is>
          <t>Crunchyroll</t>
        </is>
      </c>
      <c r="E19" s="57" t="inlineStr">
        <is>
          <t>Diego</t>
        </is>
      </c>
      <c r="F19" s="58" t="n">
        <v>6490</v>
      </c>
      <c r="G19" s="59" t="n">
        <v>6490</v>
      </c>
      <c r="H19" s="60">
        <f>IF(OR(G19="",G19=0),"-", G19-IF(F19="",0,F19))</f>
        <v/>
      </c>
      <c r="I19" s="61">
        <f>IF(OR(G19="",F19="",F19=0),"-", IFERROR((G19-F19)/F19, 0))</f>
        <v/>
      </c>
      <c r="J19" s="55">
        <f>IF(OR(G19="",G19=0),"-", IF(H19&gt;15000,"🔴 Desvío Fuerte", IF(I19&gt;0.08,"🟡 Alerta (+8%)", IF(H19&lt;-5000,"💎 Ahorro","🟢 En Rango"))))</f>
        <v/>
      </c>
      <c r="K19" s="58" t="n">
        <v>6490</v>
      </c>
      <c r="L19" s="56" t="inlineStr">
        <is>
          <t>Tarifa fija recurrente</t>
        </is>
      </c>
    </row>
    <row r="20" ht="22" customHeight="1">
      <c r="B20" s="55" t="n">
        <v>9</v>
      </c>
      <c r="C20" s="56" t="inlineStr">
        <is>
          <t>Salud Cíclica</t>
        </is>
      </c>
      <c r="D20" s="56" t="inlineStr">
        <is>
          <t>Eutirox 137</t>
        </is>
      </c>
      <c r="E20" s="57" t="inlineStr">
        <is>
          <t>Diego</t>
        </is>
      </c>
      <c r="F20" s="58" t="n">
        <v>10000</v>
      </c>
      <c r="G20" s="59" t="n">
        <v>10000</v>
      </c>
      <c r="H20" s="60">
        <f>IF(OR(G20="",G20=0),"-", G20-IF(F20="",0,F20))</f>
        <v/>
      </c>
      <c r="I20" s="61">
        <f>IF(OR(G20="",F20="",F20=0),"-", IFERROR((G20-F20)/F20, 0))</f>
        <v/>
      </c>
      <c r="J20" s="55">
        <f>IF(OR(G20="",G20=0),"-", IF(H20&gt;15000,"🔴 Desvío Fuerte", IF(I20&gt;0.08,"🟡 Alerta (+8%)", IF(H20&lt;-5000,"💎 Ahorro","🟢 En Rango"))))</f>
        <v/>
      </c>
      <c r="K20" s="58" t="n">
        <v>10000</v>
      </c>
      <c r="L20" s="56" t="inlineStr">
        <is>
          <t>Ajuste mensual medicamento</t>
        </is>
      </c>
    </row>
    <row r="21" ht="22" customHeight="1">
      <c r="B21" s="55" t="n">
        <v>10</v>
      </c>
      <c r="C21" s="56" t="inlineStr">
        <is>
          <t>Salud Cíclica</t>
        </is>
      </c>
      <c r="D21" s="56" t="inlineStr">
        <is>
          <t>Rupatadina</t>
        </is>
      </c>
      <c r="E21" s="57" t="inlineStr">
        <is>
          <t>Diego</t>
        </is>
      </c>
      <c r="F21" s="58" t="n">
        <v>10382</v>
      </c>
      <c r="G21" s="59" t="n">
        <v>10382</v>
      </c>
      <c r="H21" s="60">
        <f>IF(OR(G21="",G21=0),"-", G21-IF(F21="",0,F21))</f>
        <v/>
      </c>
      <c r="I21" s="61">
        <f>IF(OR(G21="",F21="",F21=0),"-", IFERROR((G21-F21)/F21, 0))</f>
        <v/>
      </c>
      <c r="J21" s="55">
        <f>IF(OR(G21="",G21=0),"-", IF(H21&gt;15000,"🔴 Desvío Fuerte", IF(I21&gt;0.08,"🟡 Alerta (+8%)", IF(H21&lt;-5000,"💎 Ahorro","🟢 En Rango"))))</f>
        <v/>
      </c>
      <c r="K21" s="58" t="n">
        <v>10382</v>
      </c>
      <c r="L21" s="56" t="inlineStr">
        <is>
          <t>Ajuste mensual medicamento</t>
        </is>
      </c>
    </row>
    <row r="22" ht="22" customHeight="1">
      <c r="B22" s="55" t="n">
        <v>11</v>
      </c>
      <c r="C22" s="56" t="inlineStr">
        <is>
          <t>Operaciones</t>
        </is>
      </c>
      <c r="D22" s="56" t="inlineStr">
        <is>
          <t>Pasajes Interregionales (8 viajes)</t>
        </is>
      </c>
      <c r="E22" s="57" t="inlineStr">
        <is>
          <t>Diego</t>
        </is>
      </c>
      <c r="F22" s="58" t="n">
        <v>231500</v>
      </c>
      <c r="G22" s="59" t="n">
        <v>231500</v>
      </c>
      <c r="H22" s="60">
        <f>IF(OR(G22="",G22=0),"-", G22-IF(F22="",0,F22))</f>
        <v/>
      </c>
      <c r="I22" s="61">
        <f>IF(OR(G22="",F22="",F22=0),"-", IFERROR((G22-F22)/F22, 0))</f>
        <v/>
      </c>
      <c r="J22" s="55">
        <f>IF(OR(G22="",G22=0),"-", IF(H22&gt;15000,"🔴 Desvío Fuerte", IF(I22&gt;0.08,"🟡 Alerta (+8%)", IF(H22&lt;-5000,"💎 Ahorro","🟢 En Rango"))))</f>
        <v/>
      </c>
      <c r="K22" s="58" t="n">
        <v>231500</v>
      </c>
      <c r="L22" s="56" t="inlineStr">
        <is>
          <t>Descuentos en pasajes</t>
        </is>
      </c>
    </row>
    <row r="23" ht="22" customHeight="1">
      <c r="B23" s="55" t="n">
        <v>12</v>
      </c>
      <c r="C23" s="56" t="inlineStr">
        <is>
          <t>Operaciones</t>
        </is>
      </c>
      <c r="D23" s="56" t="inlineStr">
        <is>
          <t>Uber (Traslados y retenciones)</t>
        </is>
      </c>
      <c r="E23" s="57" t="inlineStr">
        <is>
          <t>Diego</t>
        </is>
      </c>
      <c r="F23" s="58" t="n">
        <v>25000</v>
      </c>
      <c r="G23" s="59" t="n">
        <v>25000</v>
      </c>
      <c r="H23" s="60">
        <f>IF(OR(G23="",G23=0),"-", G23-IF(F23="",0,F23))</f>
        <v/>
      </c>
      <c r="I23" s="61">
        <f>IF(OR(G23="",F23="",F23=0),"-", IFERROR((G23-F23)/F23, 0))</f>
        <v/>
      </c>
      <c r="J23" s="55">
        <f>IF(OR(G23="",G23=0),"-", IF(H23&gt;15000,"🔴 Desvío Fuerte", IF(I23&gt;0.08,"🟡 Alerta (+8%)", IF(H23&lt;-5000,"💎 Ahorro","🟢 En Rango"))))</f>
        <v/>
      </c>
      <c r="K23" s="58" t="n">
        <v>25000</v>
      </c>
      <c r="L23" s="56" t="inlineStr">
        <is>
          <t>Margen PayU</t>
        </is>
      </c>
    </row>
    <row r="24" ht="22" customHeight="1">
      <c r="B24" s="55" t="n">
        <v>13</v>
      </c>
      <c r="C24" s="56" t="inlineStr">
        <is>
          <t>Operaciones</t>
        </is>
      </c>
      <c r="D24" s="56" t="inlineStr">
        <is>
          <t>Metro Valparaíso (EFE)</t>
        </is>
      </c>
      <c r="E24" s="57" t="inlineStr">
        <is>
          <t>Diego</t>
        </is>
      </c>
      <c r="F24" s="58" t="n">
        <v>10000</v>
      </c>
      <c r="G24" s="59" t="n">
        <v>10000</v>
      </c>
      <c r="H24" s="60">
        <f>IF(OR(G24="",G24=0),"-", G24-IF(F24="",0,F24))</f>
        <v/>
      </c>
      <c r="I24" s="61">
        <f>IF(OR(G24="",F24="",F24=0),"-", IFERROR((G24-F24)/F24, 0))</f>
        <v/>
      </c>
      <c r="J24" s="55">
        <f>IF(OR(G24="",G24=0),"-", IF(H24&gt;15000,"🔴 Desvío Fuerte", IF(I24&gt;0.08,"🟡 Alerta (+8%)", IF(H24&lt;-5000,"💎 Ahorro","🟢 En Rango"))))</f>
        <v/>
      </c>
      <c r="K24" s="58" t="n">
        <v>10000</v>
      </c>
      <c r="L24" s="56" t="inlineStr">
        <is>
          <t>Recarga mensual</t>
        </is>
      </c>
    </row>
    <row r="25" ht="22" customHeight="1">
      <c r="B25" s="55" t="n">
        <v>14</v>
      </c>
      <c r="C25" s="56" t="inlineStr">
        <is>
          <t>Operaciones</t>
        </is>
      </c>
      <c r="D25" s="56" t="inlineStr">
        <is>
          <t>Snacks Turno (Galletas + Energéticas)</t>
        </is>
      </c>
      <c r="E25" s="57" t="inlineStr">
        <is>
          <t>Diego</t>
        </is>
      </c>
      <c r="F25" s="58" t="n">
        <v>33500</v>
      </c>
      <c r="G25" s="59" t="n">
        <v>33500</v>
      </c>
      <c r="H25" s="60">
        <f>IF(OR(G25="",G25=0),"-", G25-IF(F25="",0,F25))</f>
        <v/>
      </c>
      <c r="I25" s="61">
        <f>IF(OR(G25="",F25="",F25=0),"-", IFERROR((G25-F25)/F25, 0))</f>
        <v/>
      </c>
      <c r="J25" s="55">
        <f>IF(OR(G25="",G25=0),"-", IF(H25&gt;15000,"🔴 Desvío Fuerte", IF(I25&gt;0.08,"🟡 Alerta (+8%)", IF(H25&lt;-5000,"💎 Ahorro","🟢 En Rango"))))</f>
        <v/>
      </c>
      <c r="K25" s="58" t="n">
        <v>33500</v>
      </c>
      <c r="L25" s="56" t="inlineStr">
        <is>
          <t>Consumo turno Huasco</t>
        </is>
      </c>
    </row>
    <row r="26" ht="22" customHeight="1">
      <c r="B26" s="55" t="n">
        <v>15</v>
      </c>
      <c r="C26" s="56" t="inlineStr">
        <is>
          <t>Bolsillo</t>
        </is>
      </c>
      <c r="D26" s="56" t="inlineStr">
        <is>
          <t>Asignación Semanal Mach ($35k x 4)</t>
        </is>
      </c>
      <c r="E26" s="57" t="inlineStr">
        <is>
          <t>Diego</t>
        </is>
      </c>
      <c r="F26" s="58" t="n">
        <v>140000</v>
      </c>
      <c r="G26" s="59" t="n">
        <v>140000</v>
      </c>
      <c r="H26" s="60">
        <f>IF(OR(G26="",G26=0),"-", G26-IF(F26="",0,F26))</f>
        <v/>
      </c>
      <c r="I26" s="61">
        <f>IF(OR(G26="",F26="",F26=0),"-", IFERROR((G26-F26)/F26, 0))</f>
        <v/>
      </c>
      <c r="J26" s="55">
        <f>IF(OR(G26="",G26=0),"-", IF(H26&gt;15000,"🔴 Desvío Fuerte", IF(I26&gt;0.08,"🟡 Alerta (+8%)", IF(H26&lt;-5000,"💎 Ahorro","🟢 En Rango"))))</f>
        <v/>
      </c>
      <c r="K26" s="58" t="n">
        <v>140000</v>
      </c>
      <c r="L26" s="56" t="inlineStr">
        <is>
          <t>Ajustado a modo recuperación</t>
        </is>
      </c>
    </row>
    <row r="27" ht="22" customHeight="1">
      <c r="B27" s="55" t="n">
        <v>16</v>
      </c>
      <c r="C27" s="56" t="inlineStr">
        <is>
          <t>Ahorro</t>
        </is>
      </c>
      <c r="D27" s="56" t="inlineStr">
        <is>
          <t>Fondo Emergencia Mercado Pago</t>
        </is>
      </c>
      <c r="E27" s="57" t="inlineStr">
        <is>
          <t>Diego</t>
        </is>
      </c>
      <c r="F27" s="58" t="n">
        <v>130000</v>
      </c>
      <c r="G27" s="59" t="n">
        <v>130000</v>
      </c>
      <c r="H27" s="60">
        <f>IF(OR(G27="",G27=0),"-", G27-IF(F27="",0,F27))</f>
        <v/>
      </c>
      <c r="I27" s="61">
        <f>IF(OR(G27="",F27="",F27=0),"-", IFERROR((G27-F27)/F27, 0))</f>
        <v/>
      </c>
      <c r="J27" s="55">
        <f>IF(OR(G27="",G27=0),"-", IF(H27&gt;15000,"🔴 Desvío Fuerte", IF(I27&gt;0.08,"🟡 Alerta (+8%)", IF(H27&lt;-5000,"💎 Ahorro","🟢 En Rango"))))</f>
        <v/>
      </c>
      <c r="K27" s="58" t="n">
        <v>130000</v>
      </c>
      <c r="L27" s="56" t="inlineStr">
        <is>
          <t>Ahorro constante mensual</t>
        </is>
      </c>
    </row>
    <row r="28" ht="22" customHeight="1">
      <c r="B28" s="62" t="n">
        <v>17</v>
      </c>
      <c r="C28" s="63" t="inlineStr">
        <is>
          <t>Varios Diego</t>
        </is>
      </c>
      <c r="D28" s="63" t="inlineStr">
        <is>
          <t>[ + Escribir nuevo gasto Diego ]</t>
        </is>
      </c>
      <c r="E28" s="57" t="inlineStr">
        <is>
          <t>Diego</t>
        </is>
      </c>
      <c r="F28" s="64" t="inlineStr"/>
      <c r="G28" s="59" t="inlineStr"/>
      <c r="H28" s="65">
        <f>IF(OR(G28="",G28=0),"-", G28-IF(F28="",0,F28))</f>
        <v/>
      </c>
      <c r="I28" s="66">
        <f>IF(OR(G28="",F28="",F28=0),"-", IFERROR((G28-F28)/F28, 0))</f>
        <v/>
      </c>
      <c r="J28" s="62">
        <f>IF(OR(G28="",G28=0),"-", IF(H28&gt;15000,"🔴 Desvío Fuerte", IF(I28&gt;0.08,"🟡 Alerta (+8%)", IF(H28&lt;-5000,"💎 Ahorro","🟢 En Rango"))))</f>
        <v/>
      </c>
      <c r="K28" s="64" t="inlineStr"/>
      <c r="L28" s="63" t="inlineStr">
        <is>
          <t>Fila libre para nuevo ítem</t>
        </is>
      </c>
    </row>
    <row r="29" ht="22" customHeight="1">
      <c r="B29" s="62" t="n">
        <v>18</v>
      </c>
      <c r="C29" s="63" t="inlineStr">
        <is>
          <t>Varios Diego</t>
        </is>
      </c>
      <c r="D29" s="63" t="inlineStr">
        <is>
          <t>[ + Escribir nuevo gasto Diego ]</t>
        </is>
      </c>
      <c r="E29" s="57" t="inlineStr">
        <is>
          <t>Diego</t>
        </is>
      </c>
      <c r="F29" s="64" t="inlineStr"/>
      <c r="G29" s="59" t="inlineStr"/>
      <c r="H29" s="65">
        <f>IF(OR(G29="",G29=0),"-", G29-IF(F29="",0,F29))</f>
        <v/>
      </c>
      <c r="I29" s="66">
        <f>IF(OR(G29="",F29="",F29=0),"-", IFERROR((G29-F29)/F29, 0))</f>
        <v/>
      </c>
      <c r="J29" s="62">
        <f>IF(OR(G29="",G29=0),"-", IF(H29&gt;15000,"🔴 Desvío Fuerte", IF(I29&gt;0.08,"🟡 Alerta (+8%)", IF(H29&lt;-5000,"💎 Ahorro","🟢 En Rango"))))</f>
        <v/>
      </c>
      <c r="K29" s="64" t="inlineStr"/>
      <c r="L29" s="63" t="inlineStr">
        <is>
          <t>Fila libre para nuevo ítem</t>
        </is>
      </c>
    </row>
    <row r="30" ht="24" customHeight="1">
      <c r="B30" s="67" t="inlineStr">
        <is>
          <t>SUBTOTAL DIEGO (Cuenta Fan + Tenpo + Mach + MP)</t>
        </is>
      </c>
      <c r="C30" s="91" t="n"/>
      <c r="D30" s="91" t="n"/>
      <c r="E30" s="92" t="n"/>
      <c r="F30" s="69">
        <f>SUM(F12:F29)</f>
        <v/>
      </c>
      <c r="G30" s="69">
        <f>SUM(G12:G29)</f>
        <v/>
      </c>
      <c r="H30" s="70">
        <f>G30-F30</f>
        <v/>
      </c>
      <c r="I30" s="71">
        <f>IFERROR((G30-F30)/F30, 0)</f>
        <v/>
      </c>
      <c r="J30" s="72">
        <f>IF(H30&gt;20000,"🔴 Desvío Diego", IF(I30&gt;0.05,"🟡 Alerta Diego","🟢 En Presupuesto"))</f>
        <v/>
      </c>
      <c r="K30" s="69">
        <f>SUM(K12:K29)</f>
        <v/>
      </c>
      <c r="L30" s="68" t="inlineStr">
        <is>
          <t>Compromisos asignados a Diego</t>
        </is>
      </c>
    </row>
    <row r="31" ht="22" customHeight="1">
      <c r="B31" s="55" t="n">
        <v>19</v>
      </c>
      <c r="C31" s="56" t="inlineStr">
        <is>
          <t>Hogar Limache</t>
        </is>
      </c>
      <c r="D31" s="56" t="inlineStr">
        <is>
          <t>Luz (CGE / Chilquinta)</t>
        </is>
      </c>
      <c r="E31" s="73" t="inlineStr">
        <is>
          <t>Soledad</t>
        </is>
      </c>
      <c r="F31" s="58" t="n">
        <v>22500</v>
      </c>
      <c r="G31" s="59" t="n">
        <v>23762</v>
      </c>
      <c r="H31" s="60">
        <f>IF(OR(G31="",G31=0),"-", G31-IF(F31="",0,F31))</f>
        <v/>
      </c>
      <c r="I31" s="61">
        <f>IF(OR(G31="",F31="",F31=0),"-", IFERROR((G31-F31)/F31, 0))</f>
        <v/>
      </c>
      <c r="J31" s="55">
        <f>IF(OR(G31="",G31=0),"-", IF(H31&gt;15000,"🔴 Desvío Fuerte", IF(I31&gt;0.08,"🟡 Alerta (+8%)", IF(H31&lt;-5000,"💎 Ahorro","🟢 En Rango"))))</f>
        <v/>
      </c>
      <c r="K31" s="58" t="n">
        <v>22220</v>
      </c>
      <c r="L31" s="56" t="inlineStr">
        <is>
          <t>Promedio real histórico 14 meses</t>
        </is>
      </c>
    </row>
    <row r="32" ht="22" customHeight="1">
      <c r="B32" s="55" t="n">
        <v>20</v>
      </c>
      <c r="C32" s="56" t="inlineStr">
        <is>
          <t>Hogar Limache</t>
        </is>
      </c>
      <c r="D32" s="56" t="inlineStr">
        <is>
          <t>Agua (Esval)</t>
        </is>
      </c>
      <c r="E32" s="73" t="inlineStr">
        <is>
          <t>Soledad</t>
        </is>
      </c>
      <c r="F32" s="58" t="n">
        <v>7200</v>
      </c>
      <c r="G32" s="59" t="n">
        <v>7840</v>
      </c>
      <c r="H32" s="60">
        <f>IF(OR(G32="",G32=0),"-", G32-IF(F32="",0,F32))</f>
        <v/>
      </c>
      <c r="I32" s="61">
        <f>IF(OR(G32="",F32="",F32=0),"-", IFERROR((G32-F32)/F32, 0))</f>
        <v/>
      </c>
      <c r="J32" s="55">
        <f>IF(OR(G32="",G32=0),"-", IF(H32&gt;15000,"🔴 Desvío Fuerte", IF(I32&gt;0.08,"🟡 Alerta (+8%)", IF(H32&lt;-5000,"💎 Ahorro","🟢 En Rango"))))</f>
        <v/>
      </c>
      <c r="K32" s="58" t="n">
        <v>7134</v>
      </c>
      <c r="L32" s="56" t="inlineStr">
        <is>
          <t>Consumo estable (~$7.1k)</t>
        </is>
      </c>
    </row>
    <row r="33" ht="22" customHeight="1">
      <c r="B33" s="55" t="n">
        <v>21</v>
      </c>
      <c r="C33" s="56" t="inlineStr">
        <is>
          <t>Hogar Limache</t>
        </is>
      </c>
      <c r="D33" s="56" t="inlineStr">
        <is>
          <t>Gas (Lipigas / Abastible)</t>
        </is>
      </c>
      <c r="E33" s="73" t="inlineStr">
        <is>
          <t>Soledad</t>
        </is>
      </c>
      <c r="F33" s="58" t="n">
        <v>20500</v>
      </c>
      <c r="G33" s="59" t="n">
        <v>25500</v>
      </c>
      <c r="H33" s="60">
        <f>IF(OR(G33="",G33=0),"-", G33-IF(F33="",0,F33))</f>
        <v/>
      </c>
      <c r="I33" s="61">
        <f>IF(OR(G33="",F33="",F33=0),"-", IFERROR((G33-F33)/F33, 0))</f>
        <v/>
      </c>
      <c r="J33" s="55">
        <f>IF(OR(G33="",G33=0),"-", IF(H33&gt;15000,"🔴 Desvío Fuerte", IF(I33&gt;0.08,"🟡 Alerta (+8%)", IF(H33&lt;-5000,"💎 Ahorro","🟢 En Rango"))))</f>
        <v/>
      </c>
      <c r="K33" s="58" t="n">
        <v>20114</v>
      </c>
      <c r="L33" s="56" t="inlineStr">
        <is>
          <t>Invierno $25k-$30k / Verano $15k</t>
        </is>
      </c>
    </row>
    <row r="34" ht="22" customHeight="1">
      <c r="B34" s="55" t="n">
        <v>22</v>
      </c>
      <c r="C34" s="56" t="inlineStr">
        <is>
          <t>Conectividad</t>
        </is>
      </c>
      <c r="D34" s="56" t="inlineStr">
        <is>
          <t>Plan Claro (Pareja)</t>
        </is>
      </c>
      <c r="E34" s="73" t="inlineStr">
        <is>
          <t>Soledad</t>
        </is>
      </c>
      <c r="F34" s="58" t="n">
        <v>9500</v>
      </c>
      <c r="G34" s="59" t="n">
        <v>9600</v>
      </c>
      <c r="H34" s="60">
        <f>IF(OR(G34="",G34=0),"-", G34-IF(F34="",0,F34))</f>
        <v/>
      </c>
      <c r="I34" s="61">
        <f>IF(OR(G34="",F34="",F34=0),"-", IFERROR((G34-F34)/F34, 0))</f>
        <v/>
      </c>
      <c r="J34" s="55">
        <f>IF(OR(G34="",G34=0),"-", IF(H34&gt;15000,"🔴 Desvío Fuerte", IF(I34&gt;0.08,"🟡 Alerta (+8%)", IF(H34&lt;-5000,"💎 Ahorro","🟢 En Rango"))))</f>
        <v/>
      </c>
      <c r="K34" s="58" t="n">
        <v>9372</v>
      </c>
      <c r="L34" s="56" t="inlineStr">
        <is>
          <t>Tarifa plan móvil pareja</t>
        </is>
      </c>
    </row>
    <row r="35" ht="22" customHeight="1">
      <c r="B35" s="55" t="n">
        <v>23</v>
      </c>
      <c r="C35" s="56" t="inlineStr">
        <is>
          <t>Hogar Limache</t>
        </is>
      </c>
      <c r="D35" s="56" t="inlineStr">
        <is>
          <t>Gasto Común Condominio</t>
        </is>
      </c>
      <c r="E35" s="73" t="inlineStr">
        <is>
          <t>Soledad</t>
        </is>
      </c>
      <c r="F35" s="58" t="n">
        <v>52500</v>
      </c>
      <c r="G35" s="59" t="n">
        <v>56315</v>
      </c>
      <c r="H35" s="60">
        <f>IF(OR(G35="",G35=0),"-", G35-IF(F35="",0,F35))</f>
        <v/>
      </c>
      <c r="I35" s="61">
        <f>IF(OR(G35="",F35="",F35=0),"-", IFERROR((G35-F35)/F35, 0))</f>
        <v/>
      </c>
      <c r="J35" s="55">
        <f>IF(OR(G35="",G35=0),"-", IF(H35&gt;15000,"🔴 Desvío Fuerte", IF(I35&gt;0.08,"🟡 Alerta (+8%)", IF(H35&lt;-5000,"💎 Ahorro","🟢 En Rango"))))</f>
        <v/>
      </c>
      <c r="K35" s="58" t="n">
        <v>52539</v>
      </c>
      <c r="L35" s="56" t="inlineStr">
        <is>
          <t>Promedio histórico real</t>
        </is>
      </c>
    </row>
    <row r="36" ht="22" customHeight="1">
      <c r="B36" s="55" t="n">
        <v>24</v>
      </c>
      <c r="C36" s="56" t="inlineStr">
        <is>
          <t>Alimentación</t>
        </is>
      </c>
      <c r="D36" s="56" t="inlineStr">
        <is>
          <t>Supermercado Hogar Limache</t>
        </is>
      </c>
      <c r="E36" s="73" t="inlineStr">
        <is>
          <t>Soledad</t>
        </is>
      </c>
      <c r="F36" s="58" t="n">
        <v>125000</v>
      </c>
      <c r="G36" s="59" t="n">
        <v>120000</v>
      </c>
      <c r="H36" s="60">
        <f>IF(OR(G36="",G36=0),"-", G36-IF(F36="",0,F36))</f>
        <v/>
      </c>
      <c r="I36" s="61">
        <f>IF(OR(G36="",F36="",F36=0),"-", IFERROR((G36-F36)/F36, 0))</f>
        <v/>
      </c>
      <c r="J36" s="55">
        <f>IF(OR(G36="",G36=0),"-", IF(H36&gt;15000,"🔴 Desvío Fuerte", IF(I36&gt;0.08,"🟡 Alerta (+8%)", IF(H36&lt;-5000,"💎 Ahorro","🟢 En Rango"))))</f>
        <v/>
      </c>
      <c r="K36" s="58" t="n">
        <v>127196</v>
      </c>
      <c r="L36" s="56" t="inlineStr">
        <is>
          <t>Presupuesto asignado hogar</t>
        </is>
      </c>
    </row>
    <row r="37" ht="22" customHeight="1">
      <c r="B37" s="55" t="n">
        <v>25</v>
      </c>
      <c r="C37" s="56" t="inlineStr">
        <is>
          <t>Hogar Limache</t>
        </is>
      </c>
      <c r="D37" s="56" t="inlineStr">
        <is>
          <t>Aseo Domiciliario (Cuota Municipal)</t>
        </is>
      </c>
      <c r="E37" s="73" t="inlineStr">
        <is>
          <t>Soledad</t>
        </is>
      </c>
      <c r="F37" s="58" t="n">
        <v>4550</v>
      </c>
      <c r="G37" s="59" t="n">
        <v>4614</v>
      </c>
      <c r="H37" s="60">
        <f>IF(OR(G37="",G37=0),"-", G37-IF(F37="",0,F37))</f>
        <v/>
      </c>
      <c r="I37" s="61">
        <f>IF(OR(G37="",F37="",F37=0),"-", IFERROR((G37-F37)/F37, 0))</f>
        <v/>
      </c>
      <c r="J37" s="55">
        <f>IF(OR(G37="",G37=0),"-", IF(H37&gt;15000,"🔴 Desvío Fuerte", IF(I37&gt;0.08,"🟡 Alerta (+8%)", IF(H37&lt;-5000,"💎 Ahorro","🟢 En Rango"))))</f>
        <v/>
      </c>
      <c r="K37" s="58" t="n">
        <v>4550</v>
      </c>
      <c r="L37" s="56" t="inlineStr">
        <is>
          <t>Aporte mensual ($13.6k trimestral)</t>
        </is>
      </c>
    </row>
    <row r="38" ht="22" customHeight="1">
      <c r="B38" s="55" t="n">
        <v>26</v>
      </c>
      <c r="C38" s="56" t="inlineStr">
        <is>
          <t>Compromisos</t>
        </is>
      </c>
      <c r="D38" s="56" t="inlineStr">
        <is>
          <t>Tarjeta Smart Visa (Compromiso)</t>
        </is>
      </c>
      <c r="E38" s="73" t="inlineStr">
        <is>
          <t>Soledad</t>
        </is>
      </c>
      <c r="F38" s="58" t="n">
        <v>50000</v>
      </c>
      <c r="G38" s="59" t="n">
        <v>50000</v>
      </c>
      <c r="H38" s="60">
        <f>IF(OR(G38="",G38=0),"-", G38-IF(F38="",0,F38))</f>
        <v/>
      </c>
      <c r="I38" s="61">
        <f>IF(OR(G38="",F38="",F38=0),"-", IFERROR((G38-F38)/F38, 0))</f>
        <v/>
      </c>
      <c r="J38" s="55">
        <f>IF(OR(G38="",G38=0),"-", IF(H38&gt;15000,"🔴 Desvío Fuerte", IF(I38&gt;0.08,"🟡 Alerta (+8%)", IF(H38&lt;-5000,"💎 Ahorro","🟢 En Rango"))))</f>
        <v/>
      </c>
      <c r="K38" s="58" t="n">
        <v>45951</v>
      </c>
      <c r="L38" s="56" t="inlineStr">
        <is>
          <t>Promedio real cuota mensual</t>
        </is>
      </c>
    </row>
    <row r="39" ht="22" customHeight="1">
      <c r="B39" s="62" t="n">
        <v>27</v>
      </c>
      <c r="C39" s="63" t="inlineStr">
        <is>
          <t>Varios Soledad</t>
        </is>
      </c>
      <c r="D39" s="63" t="inlineStr">
        <is>
          <t>[ + Escribir nuevo gasto Soledad ]</t>
        </is>
      </c>
      <c r="E39" s="73" t="inlineStr">
        <is>
          <t>Soledad</t>
        </is>
      </c>
      <c r="F39" s="64" t="inlineStr"/>
      <c r="G39" s="59" t="inlineStr"/>
      <c r="H39" s="65">
        <f>IF(OR(G39="",G39=0),"-", G39-IF(F39="",0,F39))</f>
        <v/>
      </c>
      <c r="I39" s="66">
        <f>IF(OR(G39="",F39="",F39=0),"-", IFERROR((G39-F39)/F39, 0))</f>
        <v/>
      </c>
      <c r="J39" s="62">
        <f>IF(OR(G39="",G39=0),"-", IF(H39&gt;15000,"🔴 Desvío Fuerte", IF(I39&gt;0.08,"🟡 Alerta (+8%)", IF(H39&lt;-5000,"💎 Ahorro","🟢 En Rango"))))</f>
        <v/>
      </c>
      <c r="K39" s="64" t="inlineStr"/>
      <c r="L39" s="63" t="inlineStr">
        <is>
          <t>Fila libre para nuevo ítem</t>
        </is>
      </c>
    </row>
    <row r="40" ht="22" customHeight="1">
      <c r="B40" s="62" t="n">
        <v>28</v>
      </c>
      <c r="C40" s="63" t="inlineStr">
        <is>
          <t>Varios Soledad</t>
        </is>
      </c>
      <c r="D40" s="63" t="inlineStr">
        <is>
          <t>[ + Escribir nuevo gasto Soledad ]</t>
        </is>
      </c>
      <c r="E40" s="73" t="inlineStr">
        <is>
          <t>Soledad</t>
        </is>
      </c>
      <c r="F40" s="64" t="inlineStr"/>
      <c r="G40" s="59" t="inlineStr"/>
      <c r="H40" s="65">
        <f>IF(OR(G40="",G40=0),"-", G40-IF(F40="",0,F40))</f>
        <v/>
      </c>
      <c r="I40" s="66">
        <f>IF(OR(G40="",F40="",F40=0),"-", IFERROR((G40-F40)/F40, 0))</f>
        <v/>
      </c>
      <c r="J40" s="62">
        <f>IF(OR(G40="",G40=0),"-", IF(H40&gt;15000,"🔴 Desvío Fuerte", IF(I40&gt;0.08,"🟡 Alerta (+8%)", IF(H40&lt;-5000,"💎 Ahorro","🟢 En Rango"))))</f>
        <v/>
      </c>
      <c r="K40" s="64" t="inlineStr"/>
      <c r="L40" s="63" t="inlineStr">
        <is>
          <t>Fila libre para nuevo ítem</t>
        </is>
      </c>
    </row>
    <row r="41" ht="24" customHeight="1">
      <c r="B41" s="74" t="inlineStr">
        <is>
          <t>SUBTOTAL SOLEDAD (Hogar Limache + Tarjeta Smart)</t>
        </is>
      </c>
      <c r="C41" s="91" t="n"/>
      <c r="D41" s="91" t="n"/>
      <c r="E41" s="92" t="n"/>
      <c r="F41" s="76">
        <f>SUM(F31:F40)</f>
        <v/>
      </c>
      <c r="G41" s="76">
        <f>SUM(G31:G40)</f>
        <v/>
      </c>
      <c r="H41" s="77">
        <f>G41-F41</f>
        <v/>
      </c>
      <c r="I41" s="78">
        <f>IFERROR((G41-F41)/F41, 0)</f>
        <v/>
      </c>
      <c r="J41" s="79">
        <f>IF(H41&gt;15000,"🔴 Desvío Soledad", IF(I41&gt;0.05,"🟡 Alerta Soledad","🟢 En Presupuesto"))</f>
        <v/>
      </c>
      <c r="K41" s="76">
        <f>SUM(K31:K40)</f>
        <v/>
      </c>
      <c r="L41" s="75" t="inlineStr">
        <is>
          <t>Compromisos asignados a Soledad</t>
        </is>
      </c>
    </row>
    <row r="42" ht="26" customHeight="1">
      <c r="B42" s="18" t="inlineStr">
        <is>
          <t>GRAN TOTAL CONSOLIDADO HOGAR</t>
        </is>
      </c>
      <c r="C42" s="93" t="n"/>
      <c r="D42" s="93" t="n"/>
      <c r="E42" s="94" t="n"/>
      <c r="F42" s="20">
        <f>F30+F41</f>
        <v/>
      </c>
      <c r="G42" s="20">
        <f>G30+G41</f>
        <v/>
      </c>
      <c r="H42" s="80">
        <f>G42-F42</f>
        <v/>
      </c>
      <c r="I42" s="81">
        <f>IFERROR((G42-F42)/F42, 0)</f>
        <v/>
      </c>
      <c r="J42" s="82">
        <f>IF(H42&gt;25000,"🔴 Desvío Total Alto", IF(H42&gt;10000,"🟡 Alerta Moderada", IF(H42&lt;-10000,"💎 Superávit Hogar","🟢 En Presupuesto")))</f>
        <v/>
      </c>
      <c r="K42" s="20">
        <f>K30+K41</f>
        <v/>
      </c>
      <c r="L42" s="19" t="inlineStr">
        <is>
          <t>Seguimiento integral mensual pareja</t>
        </is>
      </c>
    </row>
    <row r="43" ht="12" customHeight="1"/>
    <row r="44" ht="22" customHeight="1">
      <c r="B44" s="83" t="inlineStr">
        <is>
          <t>💡 GUÍA FÁCIL: ¿CÓMO USAR Y AGREGAR NUEVOS GASTOS EN ESTA PLANILLA?</t>
        </is>
      </c>
      <c r="C44" s="90" t="n"/>
      <c r="D44" s="90" t="n"/>
      <c r="E44" s="90" t="n"/>
      <c r="F44" s="90" t="n"/>
      <c r="G44" s="90" t="n"/>
      <c r="H44" s="90" t="n"/>
      <c r="I44" s="90" t="n"/>
      <c r="J44" s="90" t="n"/>
      <c r="K44" s="90" t="n"/>
      <c r="L44" s="88" t="n"/>
    </row>
    <row r="45" ht="20" customHeight="1">
      <c r="B45" s="84" t="inlineStr">
        <is>
          <t>• Solo ingresen el monto en la columna amarilla (✏️ Real Mes Activo). No toquen otras columnas para no borrar fórmulas.</t>
        </is>
      </c>
      <c r="C45" s="90" t="n"/>
      <c r="D45" s="90" t="n"/>
      <c r="E45" s="90" t="n"/>
      <c r="F45" s="90" t="n"/>
      <c r="G45" s="90" t="n"/>
      <c r="H45" s="90" t="n"/>
      <c r="I45" s="90" t="n"/>
      <c r="J45" s="90" t="n"/>
      <c r="K45" s="90" t="n"/>
      <c r="L45" s="88" t="n"/>
    </row>
    <row r="46" ht="20" customHeight="1">
      <c r="B46" s="84" t="inlineStr">
        <is>
          <t>• Para agregar un nuevo gasto: escriban directamente en las filas libres '[ + Escribir nuevo gasto... ]'. Ya están calculadas en los subtotales.</t>
        </is>
      </c>
      <c r="C46" s="90" t="n"/>
      <c r="D46" s="90" t="n"/>
      <c r="E46" s="90" t="n"/>
      <c r="F46" s="90" t="n"/>
      <c r="G46" s="90" t="n"/>
      <c r="H46" s="90" t="n"/>
      <c r="I46" s="90" t="n"/>
      <c r="J46" s="90" t="n"/>
      <c r="K46" s="90" t="n"/>
      <c r="L46" s="88" t="n"/>
    </row>
    <row r="47" ht="14" customHeight="1"/>
  </sheetData>
  <mergeCells count="29">
    <mergeCell ref="F4:G4"/>
    <mergeCell ref="J6:L6"/>
    <mergeCell ref="B7:C7"/>
    <mergeCell ref="B30:E30"/>
    <mergeCell ref="B3:L3"/>
    <mergeCell ref="F6:G6"/>
    <mergeCell ref="B46:L46"/>
    <mergeCell ref="F7:G7"/>
    <mergeCell ref="J7:L7"/>
    <mergeCell ref="D6:E6"/>
    <mergeCell ref="B41:E41"/>
    <mergeCell ref="H6:I6"/>
    <mergeCell ref="B2:L2"/>
    <mergeCell ref="B8:C8"/>
    <mergeCell ref="F8:G8"/>
    <mergeCell ref="D7:E7"/>
    <mergeCell ref="B44:L44"/>
    <mergeCell ref="H7:I7"/>
    <mergeCell ref="J8:L8"/>
    <mergeCell ref="D4:E4"/>
    <mergeCell ref="B10:L10"/>
    <mergeCell ref="B42:E42"/>
    <mergeCell ref="D8:E8"/>
    <mergeCell ref="B6:C6"/>
    <mergeCell ref="I4:J4"/>
    <mergeCell ref="H8:I8"/>
    <mergeCell ref="K4:L4"/>
    <mergeCell ref="B45:L4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  <col width="22" customWidth="1" min="4" max="4"/>
    <col width="18" customWidth="1" min="5" max="5"/>
    <col width="16" customWidth="1" min="6" max="6"/>
    <col width="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3" customWidth="1" min="13" max="13"/>
  </cols>
  <sheetData>
    <row r="1" ht="14" customHeight="1"/>
    <row r="2" ht="36" customHeight="1">
      <c r="B2" s="1" t="inlineStr">
        <is>
          <t>📊 PANEL DE CONTROL FINANCIERO CONSOLIDADO — HOGAR DIEGO &amp; SOLEDAD</t>
        </is>
      </c>
    </row>
    <row r="3" ht="20" customHeight="1">
      <c r="B3" s="2" t="inlineStr">
        <is>
          <t>Presupuesto familiar sincronizado • Diego ($1.214.038 | 58.1%) &amp; Soledad ($875.000 | 41.9%) • Total Hogar: $2.089.038</t>
        </is>
      </c>
    </row>
    <row r="4" ht="14" customHeight="1"/>
    <row r="5" ht="20" customHeight="1">
      <c r="B5" s="22" t="inlineStr">
        <is>
          <t>INGRESOS FAMILIARES</t>
        </is>
      </c>
      <c r="C5" s="88" t="n"/>
      <c r="D5" s="24" t="inlineStr">
        <is>
          <t>GASTOS TOTALES HOGAR</t>
        </is>
      </c>
      <c r="E5" s="88" t="n"/>
      <c r="F5" s="25" t="inlineStr">
        <is>
          <t>AHORRO BLINDADO MES</t>
        </is>
      </c>
      <c r="G5" s="88" t="n"/>
      <c r="H5" s="26" t="inlineStr">
        <is>
          <t>COLCHÓN OXÍGENO DIEGO</t>
        </is>
      </c>
      <c r="I5" s="88" t="n"/>
      <c r="J5" s="27" t="inlineStr">
        <is>
          <t>MARGEN LIBRE SOLEDAD</t>
        </is>
      </c>
      <c r="K5" s="88" t="n"/>
      <c r="L5" s="25" t="inlineStr">
        <is>
          <t>SUPERÁVIT TOTAL HOGAR</t>
        </is>
      </c>
      <c r="M5" s="88" t="n"/>
    </row>
    <row r="6" ht="30" customHeight="1">
      <c r="B6" s="28">
        <f>'Control Gastos'!E13</f>
        <v/>
      </c>
      <c r="C6" s="88" t="n"/>
      <c r="D6" s="29">
        <f>'Control Gastos'!E53</f>
        <v/>
      </c>
      <c r="E6" s="88" t="n"/>
      <c r="F6" s="30">
        <f>'Control Gastos'!E38</f>
        <v/>
      </c>
      <c r="G6" s="88" t="n"/>
      <c r="H6" s="30">
        <f>C29-D29</f>
        <v/>
      </c>
      <c r="I6" s="88" t="n"/>
      <c r="J6" s="30">
        <f>C30-D30</f>
        <v/>
      </c>
      <c r="K6" s="88" t="n"/>
      <c r="L6" s="31">
        <f>C31-D31</f>
        <v/>
      </c>
      <c r="M6" s="88" t="n"/>
    </row>
    <row r="7" ht="18" customHeight="1">
      <c r="B7" s="32" t="inlineStr">
        <is>
          <t>Diego ($1.214k) + Soledad ($875k)</t>
        </is>
      </c>
      <c r="C7" s="88" t="n"/>
      <c r="D7" s="32" t="inlineStr">
        <is>
          <t>Fijos + Operaciones + Limache</t>
        </is>
      </c>
      <c r="E7" s="88" t="n"/>
      <c r="F7" s="32" t="inlineStr">
        <is>
          <t>Mercado Pago (Rendimiento diario)</t>
        </is>
      </c>
      <c r="G7" s="88" t="n"/>
      <c r="H7" s="32" t="inlineStr">
        <is>
          <t>Margen de seguridad libre Diego</t>
        </is>
      </c>
      <c r="I7" s="88" t="n"/>
      <c r="J7" s="32" t="inlineStr">
        <is>
          <t>Capacidad libre mensual Soledad</t>
        </is>
      </c>
      <c r="K7" s="88" t="n"/>
      <c r="L7" s="32" t="inlineStr">
        <is>
          <t>30.0% tasa de ahorro libre del hogar</t>
        </is>
      </c>
      <c r="M7" s="88" t="n"/>
    </row>
    <row r="8" ht="14" customHeight="1"/>
    <row r="9" ht="24" customHeight="1">
      <c r="B9" s="33" t="inlineStr">
        <is>
          <t>1. APORTES &amp; ESTRUCTURA DE INGRESOS FAMILIARES</t>
        </is>
      </c>
      <c r="C9" s="90" t="n"/>
      <c r="D9" s="90" t="n"/>
      <c r="E9" s="90" t="n"/>
      <c r="F9" s="88" t="n"/>
    </row>
    <row r="10" ht="22" customHeight="1">
      <c r="B10" s="4" t="inlineStr">
        <is>
          <t>Integrante</t>
        </is>
      </c>
      <c r="C10" s="4" t="inlineStr">
        <is>
          <t>% Aporte</t>
        </is>
      </c>
      <c r="D10" s="5" t="inlineStr">
        <is>
          <t>Cuenta de Abono</t>
        </is>
      </c>
      <c r="E10" s="6" t="inlineStr">
        <is>
          <t>Monto Base (CLP)</t>
        </is>
      </c>
      <c r="F10" s="5" t="inlineStr">
        <is>
          <t>Destino / Misión</t>
        </is>
      </c>
    </row>
    <row r="11" ht="22" customHeight="1">
      <c r="B11" s="35" t="inlineStr">
        <is>
          <t>Diego</t>
        </is>
      </c>
      <c r="C11" s="36">
        <f>'Control Gastos'!G11</f>
        <v/>
      </c>
      <c r="D11" s="8" t="inlineStr">
        <is>
          <t>Cuenta Corriente / Vista</t>
        </is>
      </c>
      <c r="E11" s="9">
        <f>'Control Gastos'!E11</f>
        <v/>
      </c>
      <c r="F11" s="8" t="inlineStr">
        <is>
          <t>Vivienda, Operaciones Huasco y Ahorro</t>
        </is>
      </c>
    </row>
    <row r="12" ht="22" customHeight="1">
      <c r="B12" s="35" t="inlineStr">
        <is>
          <t>Soledad</t>
        </is>
      </c>
      <c r="C12" s="36">
        <f>'Control Gastos'!G12</f>
        <v/>
      </c>
      <c r="D12" s="8" t="inlineStr">
        <is>
          <t>Chequera BancoEstado</t>
        </is>
      </c>
      <c r="E12" s="9">
        <f>'Control Gastos'!E12</f>
        <v/>
      </c>
      <c r="F12" s="8" t="inlineStr">
        <is>
          <t>Cuentas Hogar Limache y Smart Visa</t>
        </is>
      </c>
    </row>
    <row r="13" ht="24" customHeight="1">
      <c r="B13" s="11" t="inlineStr">
        <is>
          <t>TOTAL INGRESO FAMILIAR</t>
        </is>
      </c>
      <c r="C13" s="92" t="n"/>
      <c r="D13" s="37" t="inlineStr">
        <is>
          <t>100.0%</t>
        </is>
      </c>
      <c r="E13" s="13">
        <f>SUM(E11:E12)</f>
        <v/>
      </c>
      <c r="F13" s="12" t="inlineStr">
        <is>
          <t>Ingreso neto mensual del hogar</t>
        </is>
      </c>
    </row>
    <row r="14" ht="10" customHeight="1"/>
    <row r="15" ht="10" customHeight="1"/>
    <row r="16" ht="24" customHeight="1">
      <c r="B16" s="38" t="inlineStr">
        <is>
          <t>2. ASIGNACIÓN MENSUAL POR COFRE &amp; CUENTA BANCARIA</t>
        </is>
      </c>
      <c r="C16" s="90" t="n"/>
      <c r="D16" s="90" t="n"/>
      <c r="E16" s="90" t="n"/>
      <c r="F16" s="88" t="n"/>
    </row>
    <row r="17" ht="22" customHeight="1">
      <c r="B17" s="5" t="inlineStr">
        <is>
          <t>Cofre / Destino</t>
        </is>
      </c>
      <c r="C17" s="4" t="inlineStr">
        <is>
          <t>Responsable</t>
        </is>
      </c>
      <c r="D17" s="4" t="inlineStr">
        <is>
          <t>Cuenta / Medio</t>
        </is>
      </c>
      <c r="E17" s="6" t="inlineStr">
        <is>
          <t>Monto Mensual</t>
        </is>
      </c>
      <c r="F17" s="6" t="inlineStr">
        <is>
          <t>% del Ingreso</t>
        </is>
      </c>
    </row>
    <row r="18" ht="22" customHeight="1">
      <c r="B18" s="8" t="inlineStr">
        <is>
          <t>Vivienda &amp; Gastos Fijos Diego</t>
        </is>
      </c>
      <c r="C18" s="7" t="inlineStr">
        <is>
          <t>Diego</t>
        </is>
      </c>
      <c r="D18" s="7" t="inlineStr">
        <is>
          <t>Cuenta Fan</t>
        </is>
      </c>
      <c r="E18" s="9">
        <f>'Control Gastos'!E25</f>
        <v/>
      </c>
      <c r="F18" s="10">
        <f>IFERROR(E18/$E$13, 0)</f>
        <v/>
      </c>
    </row>
    <row r="19" ht="22" customHeight="1">
      <c r="B19" s="8" t="inlineStr">
        <is>
          <t>Operaciones &amp; Logística Huasco</t>
        </is>
      </c>
      <c r="C19" s="7" t="inlineStr">
        <is>
          <t>Diego</t>
        </is>
      </c>
      <c r="D19" s="7" t="inlineStr">
        <is>
          <t>Tenpo Prepago</t>
        </is>
      </c>
      <c r="E19" s="9">
        <f>'Control Gastos'!E33</f>
        <v/>
      </c>
      <c r="F19" s="10">
        <f>IFERROR(E19/$E$13, 0)</f>
        <v/>
      </c>
    </row>
    <row r="20" ht="22" customHeight="1">
      <c r="B20" s="8" t="inlineStr">
        <is>
          <t>Bolsillo Personal (Modo Recuperación)</t>
        </is>
      </c>
      <c r="C20" s="7" t="inlineStr">
        <is>
          <t>Diego</t>
        </is>
      </c>
      <c r="D20" s="7" t="inlineStr">
        <is>
          <t>Mach</t>
        </is>
      </c>
      <c r="E20" s="9">
        <f>'Control Gastos'!E37</f>
        <v/>
      </c>
      <c r="F20" s="10">
        <f>IFERROR(E20/$E$13, 0)</f>
        <v/>
      </c>
    </row>
    <row r="21" ht="22" customHeight="1">
      <c r="B21" s="8" t="inlineStr">
        <is>
          <t>Ahorro Blindado / Fondo Reserva</t>
        </is>
      </c>
      <c r="C21" s="7" t="inlineStr">
        <is>
          <t>Diego</t>
        </is>
      </c>
      <c r="D21" s="7" t="inlineStr">
        <is>
          <t>Mercado Pago</t>
        </is>
      </c>
      <c r="E21" s="9">
        <f>'Control Gastos'!E38</f>
        <v/>
      </c>
      <c r="F21" s="10">
        <f>IFERROR(E21/$E$13, 0)</f>
        <v/>
      </c>
    </row>
    <row r="22" ht="22" customHeight="1">
      <c r="B22" s="8" t="inlineStr">
        <is>
          <t>Gastos Hogar &amp; Cuentas Básicas</t>
        </is>
      </c>
      <c r="C22" s="7" t="inlineStr">
        <is>
          <t>Soledad</t>
        </is>
      </c>
      <c r="D22" s="7" t="inlineStr">
        <is>
          <t>Chequera BancoEstado</t>
        </is>
      </c>
      <c r="E22" s="9">
        <f>SUM('Control Gastos'!E43:E49)</f>
        <v/>
      </c>
      <c r="F22" s="10">
        <f>IFERROR(E22/$E$13, 0)</f>
        <v/>
      </c>
    </row>
    <row r="23" ht="22" customHeight="1">
      <c r="B23" s="8" t="inlineStr">
        <is>
          <t>Tarjeta Smart Visa (Compromiso Pareja)</t>
        </is>
      </c>
      <c r="C23" s="7" t="inlineStr">
        <is>
          <t>Soledad</t>
        </is>
      </c>
      <c r="D23" s="7" t="inlineStr">
        <is>
          <t>BancoEstado</t>
        </is>
      </c>
      <c r="E23" s="9">
        <f>'Control Gastos'!E50</f>
        <v/>
      </c>
      <c r="F23" s="10">
        <f>IFERROR(E23/$E$13, 0)</f>
        <v/>
      </c>
    </row>
    <row r="24" ht="24" customHeight="1">
      <c r="B24" s="11" t="inlineStr">
        <is>
          <t>TOTAL GASTOS &amp; COMPROMISOS HOGAR</t>
        </is>
      </c>
      <c r="C24" s="91" t="n"/>
      <c r="D24" s="92" t="n"/>
      <c r="E24" s="13">
        <f>SUM(E18:E23)</f>
        <v/>
      </c>
      <c r="F24" s="14">
        <f>SUM(F18:F23)</f>
        <v/>
      </c>
    </row>
    <row r="25" ht="10" customHeight="1"/>
    <row r="26" ht="10" customHeight="1"/>
    <row r="27" ht="24" customHeight="1">
      <c r="B27" s="38" t="inlineStr">
        <is>
          <t>3. BALANCES &amp; CAPACIDAD LIBRE REAL POR INTEGRANTE</t>
        </is>
      </c>
      <c r="C27" s="90" t="n"/>
      <c r="D27" s="90" t="n"/>
      <c r="E27" s="90" t="n"/>
      <c r="F27" s="88" t="n"/>
    </row>
    <row r="28" ht="22" customHeight="1">
      <c r="B28" s="4" t="inlineStr">
        <is>
          <t>Integrante</t>
        </is>
      </c>
      <c r="C28" s="6" t="inlineStr">
        <is>
          <t>Ingreso Líquido</t>
        </is>
      </c>
      <c r="D28" s="6" t="inlineStr">
        <is>
          <t>Compromisos Asignados</t>
        </is>
      </c>
      <c r="E28" s="6" t="inlineStr">
        <is>
          <t>Margen / Capacidad Libre</t>
        </is>
      </c>
      <c r="F28" s="6" t="inlineStr">
        <is>
          <t>Tasa de Ahorro / Margen</t>
        </is>
      </c>
    </row>
    <row r="29" ht="22" customHeight="1">
      <c r="B29" s="35" t="inlineStr">
        <is>
          <t>Diego</t>
        </is>
      </c>
      <c r="C29" s="39">
        <f>E11</f>
        <v/>
      </c>
      <c r="D29" s="39">
        <f>SUM(E18:E21)</f>
        <v/>
      </c>
      <c r="E29" s="9">
        <f>C29-D29</f>
        <v/>
      </c>
      <c r="F29" s="40">
        <f>IFERROR(E29/C29, 0)</f>
        <v/>
      </c>
    </row>
    <row r="30" ht="22" customHeight="1">
      <c r="B30" s="35" t="inlineStr">
        <is>
          <t>Soledad</t>
        </is>
      </c>
      <c r="C30" s="39">
        <f>E12</f>
        <v/>
      </c>
      <c r="D30" s="39">
        <f>SUM(E22:E23)</f>
        <v/>
      </c>
      <c r="E30" s="9">
        <f>C30-D30</f>
        <v/>
      </c>
      <c r="F30" s="40">
        <f>IFERROR(E30/C30, 0)</f>
        <v/>
      </c>
    </row>
    <row r="31" ht="26" customHeight="1">
      <c r="B31" s="41" t="inlineStr">
        <is>
          <t>TOTAL HOGAR</t>
        </is>
      </c>
      <c r="C31" s="42">
        <f>SUM(C29:C30)</f>
        <v/>
      </c>
      <c r="D31" s="42">
        <f>SUM(D29:D30)</f>
        <v/>
      </c>
      <c r="E31" s="42">
        <f>SUM(E29:E30)</f>
        <v/>
      </c>
      <c r="F31" s="43">
        <f>IFERROR(E31/C31, 0)</f>
        <v/>
      </c>
    </row>
  </sheetData>
  <mergeCells count="25">
    <mergeCell ref="B2:M2"/>
    <mergeCell ref="L7:M7"/>
    <mergeCell ref="B7:C7"/>
    <mergeCell ref="J5:K5"/>
    <mergeCell ref="B16:F16"/>
    <mergeCell ref="F6:G6"/>
    <mergeCell ref="B27:F27"/>
    <mergeCell ref="F7:G7"/>
    <mergeCell ref="D6:E6"/>
    <mergeCell ref="H6:I6"/>
    <mergeCell ref="J6:K6"/>
    <mergeCell ref="F5:G5"/>
    <mergeCell ref="L5:M5"/>
    <mergeCell ref="B24:D24"/>
    <mergeCell ref="B13:C13"/>
    <mergeCell ref="D7:E7"/>
    <mergeCell ref="H7:I7"/>
    <mergeCell ref="J7:K7"/>
    <mergeCell ref="B9:F9"/>
    <mergeCell ref="B6:C6"/>
    <mergeCell ref="B3:M3"/>
    <mergeCell ref="L6:M6"/>
    <mergeCell ref="B5:C5"/>
    <mergeCell ref="D5:E5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U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5" customWidth="1" min="3" max="3"/>
    <col width="3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6" customWidth="1" min="20" max="20"/>
    <col width="34" customWidth="1" min="21" max="21"/>
  </cols>
  <sheetData>
    <row r="1" ht="14" customHeight="1"/>
    <row r="2" ht="36" customHeight="1">
      <c r="B2" s="1" t="inlineStr">
        <is>
          <t>📈 HISTÓRICO REAL DE CUENTAS DEL HOGAR — 14 MESES (AGOSTO 2024 A SEPTIEMBRE 2025)</t>
        </is>
      </c>
    </row>
    <row r="3" ht="20" customHeight="1">
      <c r="B3" s="2" t="inlineStr">
        <is>
          <t>Base de datos empírica para calibrar presupuestos, detectar estacionalidad (invierno/verano) y monitorear alzas de UF e IPC.</t>
        </is>
      </c>
    </row>
    <row r="4" ht="10" customHeight="1"/>
    <row r="5" ht="24" customHeight="1">
      <c r="B5" s="4" t="inlineStr">
        <is>
          <t>#</t>
        </is>
      </c>
      <c r="C5" s="5" t="inlineStr">
        <is>
          <t>Categoría</t>
        </is>
      </c>
      <c r="D5" s="5" t="inlineStr">
        <is>
          <t>Concepto / Servicio</t>
        </is>
      </c>
      <c r="E5" s="4" t="inlineStr">
        <is>
          <t>Resp.</t>
        </is>
      </c>
      <c r="F5" s="6" t="inlineStr">
        <is>
          <t>Ago-24</t>
        </is>
      </c>
      <c r="G5" s="6" t="inlineStr">
        <is>
          <t>Sep-24</t>
        </is>
      </c>
      <c r="H5" s="6" t="inlineStr">
        <is>
          <t>Oct-24</t>
        </is>
      </c>
      <c r="I5" s="6" t="inlineStr">
        <is>
          <t>Nov-24</t>
        </is>
      </c>
      <c r="J5" s="6" t="inlineStr">
        <is>
          <t>Dic-24</t>
        </is>
      </c>
      <c r="K5" s="6" t="inlineStr">
        <is>
          <t>Ene-25</t>
        </is>
      </c>
      <c r="L5" s="6" t="inlineStr">
        <is>
          <t>Feb-25</t>
        </is>
      </c>
      <c r="M5" s="6" t="inlineStr">
        <is>
          <t>Mar-25</t>
        </is>
      </c>
      <c r="N5" s="6" t="inlineStr">
        <is>
          <t>Abr-25</t>
        </is>
      </c>
      <c r="O5" s="6" t="inlineStr">
        <is>
          <t>May-25</t>
        </is>
      </c>
      <c r="P5" s="6" t="inlineStr">
        <is>
          <t>Jun-25</t>
        </is>
      </c>
      <c r="Q5" s="6" t="inlineStr">
        <is>
          <t>Jul-25</t>
        </is>
      </c>
      <c r="R5" s="6" t="inlineStr">
        <is>
          <t>Ago-25</t>
        </is>
      </c>
      <c r="S5" s="6" t="inlineStr">
        <is>
          <t>Sep-25</t>
        </is>
      </c>
      <c r="T5" s="6" t="inlineStr">
        <is>
          <t>Promedio Real</t>
        </is>
      </c>
      <c r="U5" s="5" t="inlineStr">
        <is>
          <t>Comportamiento / Estacionalidad</t>
        </is>
      </c>
    </row>
    <row r="6" ht="21" customHeight="1">
      <c r="B6" s="7" t="n">
        <v>1</v>
      </c>
      <c r="C6" s="8" t="inlineStr">
        <is>
          <t>Hogar Limache</t>
        </is>
      </c>
      <c r="D6" s="8" t="inlineStr">
        <is>
          <t>Luz (Chilquinta)</t>
        </is>
      </c>
      <c r="E6" s="73" t="inlineStr">
        <is>
          <t>Soledad</t>
        </is>
      </c>
      <c r="F6" s="39" t="n">
        <v>53251</v>
      </c>
      <c r="G6" s="39" t="n">
        <v>22486</v>
      </c>
      <c r="H6" s="39" t="n">
        <v>12930</v>
      </c>
      <c r="I6" s="39" t="n">
        <v>14081</v>
      </c>
      <c r="J6" s="39" t="n">
        <v>12496</v>
      </c>
      <c r="K6" s="39" t="n">
        <v>12597</v>
      </c>
      <c r="L6" s="39" t="n">
        <v>16010</v>
      </c>
      <c r="M6" s="39" t="n">
        <v>15512</v>
      </c>
      <c r="N6" s="39" t="n">
        <v>18206</v>
      </c>
      <c r="O6" s="39" t="n">
        <v>17641</v>
      </c>
      <c r="P6" s="39" t="n">
        <v>23359</v>
      </c>
      <c r="Q6" s="39" t="n">
        <v>40631</v>
      </c>
      <c r="R6" s="39" t="n">
        <v>28122</v>
      </c>
      <c r="S6" s="39" t="n">
        <v>23762</v>
      </c>
      <c r="T6" s="9">
        <f>AVERAGE(F6:S6)</f>
        <v/>
      </c>
      <c r="U6" s="8" t="inlineStr">
        <is>
          <t>Picos en invierno ($53k Ago-24, $40k Jul-25); Verano ~$12k-$16k</t>
        </is>
      </c>
    </row>
    <row r="7" ht="21" customHeight="1">
      <c r="B7" s="7" t="n">
        <v>2</v>
      </c>
      <c r="C7" s="8" t="inlineStr">
        <is>
          <t>Hogar Limache</t>
        </is>
      </c>
      <c r="D7" s="8" t="inlineStr">
        <is>
          <t>Agua (Esval)</t>
        </is>
      </c>
      <c r="E7" s="73" t="inlineStr">
        <is>
          <t>Soledad</t>
        </is>
      </c>
      <c r="F7" s="39" t="n">
        <v>7610</v>
      </c>
      <c r="G7" s="39" t="n">
        <v>7280</v>
      </c>
      <c r="H7" s="39" t="n">
        <v>6370</v>
      </c>
      <c r="I7" s="39" t="n">
        <v>6470</v>
      </c>
      <c r="J7" s="39" t="n">
        <v>6420</v>
      </c>
      <c r="K7" s="39" t="n">
        <v>6440</v>
      </c>
      <c r="L7" s="39" t="n">
        <v>7160</v>
      </c>
      <c r="M7" s="39" t="n">
        <v>8030</v>
      </c>
      <c r="N7" s="39" t="n">
        <v>7140</v>
      </c>
      <c r="O7" s="39" t="n">
        <v>8020</v>
      </c>
      <c r="P7" s="39" t="n">
        <v>7134</v>
      </c>
      <c r="Q7" s="39" t="n">
        <v>6230</v>
      </c>
      <c r="R7" s="39" t="n">
        <v>7870</v>
      </c>
      <c r="S7" s="39" t="n">
        <v>7840</v>
      </c>
      <c r="T7" s="9">
        <f>AVERAGE(F7:S7)</f>
        <v/>
      </c>
      <c r="U7" s="8" t="inlineStr">
        <is>
          <t>Consumo muy parejo todo el año: entre $6.2k y $8.0k</t>
        </is>
      </c>
    </row>
    <row r="8" ht="21" customHeight="1">
      <c r="B8" s="7" t="n">
        <v>3</v>
      </c>
      <c r="C8" s="8" t="inlineStr">
        <is>
          <t>Hogar Limache</t>
        </is>
      </c>
      <c r="D8" s="8" t="inlineStr">
        <is>
          <t>Gas (Balón / Red)</t>
        </is>
      </c>
      <c r="E8" s="73" t="inlineStr">
        <is>
          <t>Soledad</t>
        </is>
      </c>
      <c r="F8" s="39" t="n">
        <v>28550</v>
      </c>
      <c r="G8" s="39" t="n">
        <v>19500</v>
      </c>
      <c r="H8" s="39" t="n">
        <v>19850</v>
      </c>
      <c r="I8" s="39" t="n">
        <v>15250</v>
      </c>
      <c r="J8" s="39" t="n">
        <v>15750</v>
      </c>
      <c r="K8" s="39" t="n">
        <v>15850</v>
      </c>
      <c r="L8" s="39" t="n">
        <v>15900</v>
      </c>
      <c r="M8" s="39" t="n">
        <v>11350</v>
      </c>
      <c r="N8" s="39" t="n">
        <v>21100</v>
      </c>
      <c r="O8" s="39" t="n">
        <v>20900</v>
      </c>
      <c r="P8" s="39" t="n">
        <v>20950</v>
      </c>
      <c r="Q8" s="39" t="n">
        <v>20850</v>
      </c>
      <c r="R8" s="39" t="n">
        <v>30300</v>
      </c>
      <c r="S8" s="39" t="n">
        <v>25500</v>
      </c>
      <c r="T8" s="9">
        <f>AVERAGE(F8:S8)</f>
        <v/>
      </c>
      <c r="U8" s="8" t="inlineStr">
        <is>
          <t>Estacionalidad invernal marcada ($25k-$30k); Verano baja a $11k-$15k</t>
        </is>
      </c>
    </row>
    <row r="9" ht="21" customHeight="1">
      <c r="B9" s="7" t="n">
        <v>4</v>
      </c>
      <c r="C9" s="8" t="inlineStr">
        <is>
          <t>Conectividad</t>
        </is>
      </c>
      <c r="D9" s="8" t="inlineStr">
        <is>
          <t>Plan Claro (Pareja)</t>
        </is>
      </c>
      <c r="E9" s="73" t="inlineStr">
        <is>
          <t>Soledad</t>
        </is>
      </c>
      <c r="F9" s="39" t="n">
        <v>9150</v>
      </c>
      <c r="G9" s="39" t="n">
        <v>9150</v>
      </c>
      <c r="H9" s="39" t="n">
        <v>9208</v>
      </c>
      <c r="I9" s="39" t="n">
        <v>9208</v>
      </c>
      <c r="J9" s="39" t="n">
        <v>9329</v>
      </c>
      <c r="K9" s="39" t="n">
        <v>9329</v>
      </c>
      <c r="L9" s="39" t="n">
        <v>9329</v>
      </c>
      <c r="M9" s="39" t="n">
        <v>9429</v>
      </c>
      <c r="N9" s="39" t="n">
        <v>9434</v>
      </c>
      <c r="O9" s="39" t="n">
        <v>9434</v>
      </c>
      <c r="P9" s="39" t="n">
        <v>9537</v>
      </c>
      <c r="Q9" s="39" t="n">
        <v>9539</v>
      </c>
      <c r="R9" s="39" t="n">
        <v>9537</v>
      </c>
      <c r="S9" s="39" t="n">
        <v>9600</v>
      </c>
      <c r="T9" s="9">
        <f>AVERAGE(F9:S9)</f>
        <v/>
      </c>
      <c r="U9" s="8" t="inlineStr">
        <is>
          <t>Ajuste suave por IPC; muy predecible</t>
        </is>
      </c>
    </row>
    <row r="10" ht="21" customHeight="1">
      <c r="B10" s="7" t="n">
        <v>5</v>
      </c>
      <c r="C10" s="8" t="inlineStr">
        <is>
          <t>Hogar Limache</t>
        </is>
      </c>
      <c r="D10" s="8" t="inlineStr">
        <is>
          <t>Gasto Común Condominio</t>
        </is>
      </c>
      <c r="E10" s="73" t="inlineStr">
        <is>
          <t>Soledad</t>
        </is>
      </c>
      <c r="F10" s="39" t="n">
        <v>47000</v>
      </c>
      <c r="G10" s="39" t="n">
        <v>51000</v>
      </c>
      <c r="H10" s="39" t="n">
        <v>52723</v>
      </c>
      <c r="I10" s="39" t="n">
        <v>49748</v>
      </c>
      <c r="J10" s="39" t="n">
        <v>51273</v>
      </c>
      <c r="K10" s="39" t="n">
        <v>52426</v>
      </c>
      <c r="L10" s="39" t="n">
        <v>58696</v>
      </c>
      <c r="M10" s="39" t="n">
        <v>54132</v>
      </c>
      <c r="N10" s="39" t="n">
        <v>46904</v>
      </c>
      <c r="O10" s="39" t="n">
        <v>53670</v>
      </c>
      <c r="P10" s="39" t="n">
        <v>53476</v>
      </c>
      <c r="Q10" s="39" t="n">
        <v>53571</v>
      </c>
      <c r="R10" s="39" t="n">
        <v>54606</v>
      </c>
      <c r="S10" s="39" t="n">
        <v>56315</v>
      </c>
      <c r="T10" s="9">
        <f>AVERAGE(F10:S10)</f>
        <v/>
      </c>
      <c r="U10" s="8" t="inlineStr">
        <is>
          <t>Rango entre $47k y $58k; promedio consolidado $52.5k</t>
        </is>
      </c>
    </row>
    <row r="11" ht="21" customHeight="1">
      <c r="B11" s="7" t="n">
        <v>6</v>
      </c>
      <c r="C11" s="8" t="inlineStr">
        <is>
          <t>Mascotas</t>
        </is>
      </c>
      <c r="D11" s="8" t="inlineStr">
        <is>
          <t>Comida Michis</t>
        </is>
      </c>
      <c r="E11" s="57" t="inlineStr">
        <is>
          <t>Diego</t>
        </is>
      </c>
      <c r="F11" s="39" t="n">
        <v>40000</v>
      </c>
      <c r="G11" s="39" t="n">
        <v>40000</v>
      </c>
      <c r="H11" s="39" t="inlineStr"/>
      <c r="I11" s="39" t="n">
        <v>40000</v>
      </c>
      <c r="J11" s="39" t="inlineStr"/>
      <c r="K11" s="39" t="n">
        <v>46000</v>
      </c>
      <c r="L11" s="39" t="inlineStr"/>
      <c r="M11" s="39" t="n">
        <v>39900</v>
      </c>
      <c r="N11" s="39" t="inlineStr"/>
      <c r="O11" s="39" t="n">
        <v>40000</v>
      </c>
      <c r="P11" s="39" t="n">
        <v>40000</v>
      </c>
      <c r="Q11" s="39" t="inlineStr"/>
      <c r="R11" s="39" t="n">
        <v>51700</v>
      </c>
      <c r="S11" s="39" t="inlineStr"/>
      <c r="T11" s="9">
        <f>AVERAGE(F11:S11)</f>
        <v/>
      </c>
      <c r="U11" s="8" t="inlineStr">
        <is>
          <t>Compras en sacos grandes (mes por medio); promedio mensual ~$42k</t>
        </is>
      </c>
    </row>
    <row r="12" ht="21" customHeight="1">
      <c r="B12" s="7" t="n">
        <v>7</v>
      </c>
      <c r="C12" s="8" t="inlineStr">
        <is>
          <t>Mascotas</t>
        </is>
      </c>
      <c r="D12" s="8" t="inlineStr">
        <is>
          <t>Arena Sanitaria Michis</t>
        </is>
      </c>
      <c r="E12" s="57" t="inlineStr">
        <is>
          <t>Diego</t>
        </is>
      </c>
      <c r="F12" s="39" t="n">
        <v>20000</v>
      </c>
      <c r="G12" s="39" t="n">
        <v>20000</v>
      </c>
      <c r="H12" s="39" t="inlineStr"/>
      <c r="I12" s="39" t="n">
        <v>20000</v>
      </c>
      <c r="J12" s="39" t="n">
        <v>28000</v>
      </c>
      <c r="K12" s="39" t="n">
        <v>20000</v>
      </c>
      <c r="L12" s="39" t="inlineStr"/>
      <c r="M12" s="39" t="n">
        <v>17900</v>
      </c>
      <c r="N12" s="39" t="n">
        <v>17900</v>
      </c>
      <c r="O12" s="39" t="n">
        <v>17990</v>
      </c>
      <c r="P12" s="39" t="n">
        <v>20000</v>
      </c>
      <c r="Q12" s="39" t="inlineStr"/>
      <c r="R12" s="39" t="n">
        <v>20000</v>
      </c>
      <c r="S12" s="39" t="n">
        <v>20000</v>
      </c>
      <c r="T12" s="9">
        <f>AVERAGE(F12:S12)</f>
        <v/>
      </c>
      <c r="U12" s="8" t="inlineStr">
        <is>
          <t>Consumo mensual regular de ~$18k-$20k</t>
        </is>
      </c>
    </row>
    <row r="13" ht="21" customHeight="1">
      <c r="B13" s="7" t="n">
        <v>8</v>
      </c>
      <c r="C13" s="8" t="inlineStr">
        <is>
          <t>Mascotas</t>
        </is>
      </c>
      <c r="D13" s="8" t="inlineStr">
        <is>
          <t>Vacunas Michis (Eventual)</t>
        </is>
      </c>
      <c r="E13" s="57" t="inlineStr">
        <is>
          <t>Diego</t>
        </is>
      </c>
      <c r="F13" s="39" t="n">
        <v>45000</v>
      </c>
      <c r="G13" s="39" t="n">
        <v>45000</v>
      </c>
      <c r="H13" s="39" t="inlineStr"/>
      <c r="I13" s="39" t="inlineStr"/>
      <c r="J13" s="39" t="inlineStr"/>
      <c r="K13" s="39" t="inlineStr"/>
      <c r="L13" s="39" t="inlineStr"/>
      <c r="M13" s="39" t="inlineStr"/>
      <c r="N13" s="39" t="inlineStr"/>
      <c r="O13" s="39" t="inlineStr"/>
      <c r="P13" s="39" t="inlineStr"/>
      <c r="Q13" s="39" t="inlineStr"/>
      <c r="R13" s="39" t="inlineStr"/>
      <c r="S13" s="39" t="n">
        <v>57000</v>
      </c>
      <c r="T13" s="9">
        <f>AVERAGE(F13:S13)</f>
        <v/>
      </c>
      <c r="U13" s="8" t="inlineStr">
        <is>
          <t>Gastos médicos anuales (antirrábica + leucemia)</t>
        </is>
      </c>
    </row>
    <row r="14" ht="21" customHeight="1">
      <c r="B14" s="7" t="n">
        <v>9</v>
      </c>
      <c r="C14" s="8" t="inlineStr">
        <is>
          <t>Vivienda</t>
        </is>
      </c>
      <c r="D14" s="8" t="inlineStr">
        <is>
          <t>Crédito Hipotecario (UF)</t>
        </is>
      </c>
      <c r="E14" s="57" t="inlineStr">
        <is>
          <t>Diego</t>
        </is>
      </c>
      <c r="F14" s="39" t="inlineStr"/>
      <c r="G14" s="39" t="inlineStr"/>
      <c r="H14" s="39" t="inlineStr"/>
      <c r="I14" s="39" t="n">
        <v>346506</v>
      </c>
      <c r="J14" s="39" t="n">
        <v>348108</v>
      </c>
      <c r="K14" s="39" t="n">
        <v>350320</v>
      </c>
      <c r="L14" s="39" t="n">
        <v>352707</v>
      </c>
      <c r="M14" s="39" t="n">
        <v>354930</v>
      </c>
      <c r="N14" s="39" t="n">
        <v>356679</v>
      </c>
      <c r="O14" s="39" t="n">
        <v>357554</v>
      </c>
      <c r="P14" s="39" t="n">
        <v>358261</v>
      </c>
      <c r="Q14" s="39" t="n">
        <v>357433</v>
      </c>
      <c r="R14" s="39" t="n">
        <v>359354</v>
      </c>
      <c r="S14" s="39" t="n">
        <v>360181</v>
      </c>
      <c r="T14" s="9">
        <f>AVERAGE(F14:S14)</f>
        <v/>
      </c>
      <c r="U14" s="8" t="inlineStr">
        <is>
          <t>Inició en $346k (Nov-24) y subió a $360k (Sep-25) por valor UF</t>
        </is>
      </c>
    </row>
    <row r="15" ht="21" customHeight="1">
      <c r="B15" s="7" t="n">
        <v>10</v>
      </c>
      <c r="C15" s="8" t="inlineStr">
        <is>
          <t>Compromisos</t>
        </is>
      </c>
      <c r="D15" s="8" t="inlineStr">
        <is>
          <t>Tarjeta Smart Visa</t>
        </is>
      </c>
      <c r="E15" s="73" t="inlineStr">
        <is>
          <t>Soledad</t>
        </is>
      </c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n">
        <v>54640</v>
      </c>
      <c r="N15" s="39" t="inlineStr"/>
      <c r="O15" s="39" t="inlineStr"/>
      <c r="P15" s="39" t="n">
        <v>23815</v>
      </c>
      <c r="Q15" s="39" t="n">
        <v>52304</v>
      </c>
      <c r="R15" s="39" t="n">
        <v>48994</v>
      </c>
      <c r="S15" s="39" t="n">
        <v>50000</v>
      </c>
      <c r="T15" s="9">
        <f>AVERAGE(F15:S15)</f>
        <v/>
      </c>
      <c r="U15" s="8" t="inlineStr">
        <is>
          <t>Cuota mensual promedio real de ~$50k</t>
        </is>
      </c>
    </row>
    <row r="16" ht="21" customHeight="1">
      <c r="B16" s="7" t="n">
        <v>11</v>
      </c>
      <c r="C16" s="8" t="inlineStr">
        <is>
          <t>Hogar Limache</t>
        </is>
      </c>
      <c r="D16" s="8" t="inlineStr">
        <is>
          <t>Aseo Domiciliario Municipal</t>
        </is>
      </c>
      <c r="E16" s="73" t="inlineStr">
        <is>
          <t>Soledad</t>
        </is>
      </c>
      <c r="F16" s="39" t="inlineStr"/>
      <c r="G16" s="39" t="inlineStr"/>
      <c r="H16" s="39" t="inlineStr"/>
      <c r="I16" s="39" t="inlineStr"/>
      <c r="J16" s="39" t="inlineStr"/>
      <c r="K16" s="39" t="inlineStr"/>
      <c r="L16" s="39" t="inlineStr"/>
      <c r="M16" s="39" t="inlineStr"/>
      <c r="N16" s="39" t="n">
        <v>13600</v>
      </c>
      <c r="O16" s="39" t="inlineStr"/>
      <c r="P16" s="39" t="n">
        <v>13538</v>
      </c>
      <c r="Q16" s="39" t="inlineStr"/>
      <c r="R16" s="39" t="inlineStr"/>
      <c r="S16" s="39" t="n">
        <v>13841</v>
      </c>
      <c r="T16" s="9">
        <f>AVERAGE(F16:S16)</f>
        <v/>
      </c>
      <c r="U16" s="8" t="inlineStr">
        <is>
          <t>Pago trimestral municipal (~$4.5k mensual prorrateado)</t>
        </is>
      </c>
    </row>
    <row r="17" ht="21" customHeight="1">
      <c r="B17" s="7" t="n">
        <v>12</v>
      </c>
      <c r="C17" s="8" t="inlineStr">
        <is>
          <t>Educación / Otros</t>
        </is>
      </c>
      <c r="D17" s="8" t="inlineStr">
        <is>
          <t>Curso Waldorf / Proyector</t>
        </is>
      </c>
      <c r="E17" s="85" t="inlineStr">
        <is>
          <t>Ambos</t>
        </is>
      </c>
      <c r="F17" s="39" t="n">
        <v>50000</v>
      </c>
      <c r="G17" s="39" t="n">
        <v>50000</v>
      </c>
      <c r="H17" s="39" t="n">
        <v>97000</v>
      </c>
      <c r="I17" s="39" t="n">
        <v>50000</v>
      </c>
      <c r="J17" s="39" t="n">
        <v>50000</v>
      </c>
      <c r="K17" s="39" t="n">
        <v>50000</v>
      </c>
      <c r="L17" s="39" t="inlineStr"/>
      <c r="M17" s="39" t="inlineStr"/>
      <c r="N17" s="39" t="inlineStr"/>
      <c r="O17" s="39" t="inlineStr"/>
      <c r="P17" s="39" t="inlineStr"/>
      <c r="Q17" s="39" t="inlineStr"/>
      <c r="R17" s="39" t="inlineStr"/>
      <c r="S17" s="39" t="inlineStr"/>
      <c r="T17" s="9">
        <f>AVERAGE(F17:S17)</f>
        <v/>
      </c>
      <c r="U17" s="8" t="inlineStr">
        <is>
          <t>Compromisos temporales 2024-2025 ya finalizados o amortizados</t>
        </is>
      </c>
    </row>
    <row r="18" ht="21" customHeight="1">
      <c r="B18" s="7" t="n">
        <v>13</v>
      </c>
      <c r="C18" s="8" t="inlineStr">
        <is>
          <t>Alimentación</t>
        </is>
      </c>
      <c r="D18" s="8" t="inlineStr">
        <is>
          <t>Supermercado Hogar Limache</t>
        </is>
      </c>
      <c r="E18" s="73" t="inlineStr">
        <is>
          <t>Soledad</t>
        </is>
      </c>
      <c r="F18" s="39" t="inlineStr"/>
      <c r="G18" s="39" t="inlineStr"/>
      <c r="H18" s="39" t="inlineStr"/>
      <c r="I18" s="39" t="inlineStr"/>
      <c r="J18" s="39" t="n">
        <v>50000</v>
      </c>
      <c r="K18" s="39" t="inlineStr"/>
      <c r="L18" s="39" t="inlineStr"/>
      <c r="M18" s="39" t="inlineStr"/>
      <c r="N18" s="39" t="n">
        <v>126000</v>
      </c>
      <c r="O18" s="39" t="n">
        <v>153000</v>
      </c>
      <c r="P18" s="39" t="n">
        <v>109782</v>
      </c>
      <c r="Q18" s="39" t="inlineStr"/>
      <c r="R18" s="39" t="inlineStr"/>
      <c r="S18" s="39" t="inlineStr"/>
      <c r="T18" s="9">
        <f>AVERAGE(F18:S18)</f>
        <v/>
      </c>
      <c r="U18" s="8" t="inlineStr">
        <is>
          <t>Registros puntuales; promedio mensual calibrado en $125k</t>
        </is>
      </c>
    </row>
    <row r="19" ht="26" customHeight="1">
      <c r="B19" s="18" t="inlineStr">
        <is>
          <t>TOTAL CUENTAS REGISTRADAS DEL HOGAR</t>
        </is>
      </c>
      <c r="C19" s="93" t="n"/>
      <c r="D19" s="93" t="n"/>
      <c r="E19" s="94" t="n"/>
      <c r="F19" s="20">
        <f>SUM(F6:F18)</f>
        <v/>
      </c>
      <c r="G19" s="20">
        <f>SUM(G6:G18)</f>
        <v/>
      </c>
      <c r="H19" s="20">
        <f>SUM(H6:H18)</f>
        <v/>
      </c>
      <c r="I19" s="20">
        <f>SUM(I6:I18)</f>
        <v/>
      </c>
      <c r="J19" s="20">
        <f>SUM(J6:J18)</f>
        <v/>
      </c>
      <c r="K19" s="20">
        <f>SUM(K6:K18)</f>
        <v/>
      </c>
      <c r="L19" s="20">
        <f>SUM(L6:L18)</f>
        <v/>
      </c>
      <c r="M19" s="20">
        <f>SUM(M6:M18)</f>
        <v/>
      </c>
      <c r="N19" s="20">
        <f>SUM(N6:N18)</f>
        <v/>
      </c>
      <c r="O19" s="20">
        <f>SUM(O6:O18)</f>
        <v/>
      </c>
      <c r="P19" s="20">
        <f>SUM(P6:P18)</f>
        <v/>
      </c>
      <c r="Q19" s="20">
        <f>SUM(Q6:Q18)</f>
        <v/>
      </c>
      <c r="R19" s="20">
        <f>SUM(R6:R18)</f>
        <v/>
      </c>
      <c r="S19" s="20">
        <f>SUM(S6:S18)</f>
        <v/>
      </c>
      <c r="T19" s="20">
        <f>AVERAGE(T6:T18)</f>
        <v/>
      </c>
      <c r="U19" s="19" t="inlineStr">
        <is>
          <t>Evolución histórica consolidada</t>
        </is>
      </c>
    </row>
    <row r="20" ht="14" customHeight="1"/>
    <row r="21" ht="10" customHeight="1"/>
  </sheetData>
  <mergeCells count="3">
    <mergeCell ref="B3:U3"/>
    <mergeCell ref="B2:U2"/>
    <mergeCell ref="B19:E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5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8" customWidth="1" min="3" max="3"/>
    <col width="34" customWidth="1" min="4" max="4"/>
    <col width="18" customWidth="1" min="5" max="5"/>
    <col width="22" customWidth="1" min="6" max="6"/>
    <col width="14" customWidth="1" min="7" max="7"/>
    <col width="14" customWidth="1" min="8" max="8"/>
    <col width="32" customWidth="1" min="9" max="9"/>
  </cols>
  <sheetData>
    <row r="1" ht="14" customHeight="1"/>
    <row r="2" ht="36" customHeight="1">
      <c r="B2" s="1" t="inlineStr">
        <is>
          <t>📋 PRESUPUESTO MAESTRO &amp; MATRIZ DE ASIGNACIÓN — DIEGO &amp; SOLEDAD</t>
        </is>
      </c>
    </row>
    <row r="3" ht="20" customHeight="1">
      <c r="B3" s="2" t="inlineStr">
        <is>
          <t>Parámetros base mensuales acordados y calibrados según los 14 meses de registros reales.</t>
        </is>
      </c>
    </row>
    <row r="4" ht="10" customHeight="1"/>
    <row r="5" ht="24" customHeight="1">
      <c r="B5" s="3" t="inlineStr">
        <is>
          <t>1. INGRESOS MENSUALES LÍQUIDOS (BASE MAESTRA)</t>
        </is>
      </c>
    </row>
    <row r="6" ht="22" customHeight="1">
      <c r="B6" s="4" t="inlineStr">
        <is>
          <t>#</t>
        </is>
      </c>
      <c r="C6" s="5" t="inlineStr">
        <is>
          <t>Integrante</t>
        </is>
      </c>
      <c r="D6" s="5" t="inlineStr">
        <is>
          <t>Concepto de Renta</t>
        </is>
      </c>
      <c r="E6" s="6" t="inlineStr">
        <is>
          <t>Monto Líquido</t>
        </is>
      </c>
      <c r="F6" s="5" t="inlineStr">
        <is>
          <t>Medio de Depósito</t>
        </is>
      </c>
      <c r="G6" s="4" t="inlineStr">
        <is>
          <t>% del Total</t>
        </is>
      </c>
      <c r="H6" s="4" t="inlineStr">
        <is>
          <t>Frecuencia</t>
        </is>
      </c>
      <c r="I6" s="5" t="inlineStr">
        <is>
          <t>Notas</t>
        </is>
      </c>
    </row>
    <row r="11" ht="22" customHeight="1">
      <c r="B11" s="7" t="n">
        <v>1</v>
      </c>
      <c r="C11" s="7" t="inlineStr">
        <is>
          <t>Diego</t>
        </is>
      </c>
      <c r="D11" s="8" t="inlineStr">
        <is>
          <t>Sueldo Líquido Diego</t>
        </is>
      </c>
      <c r="E11" s="9" t="n">
        <v>1214038</v>
      </c>
      <c r="F11" s="8" t="inlineStr">
        <is>
          <t>Transferencia Banco</t>
        </is>
      </c>
      <c r="G11" s="10">
        <f>IFERROR(E11/$E$13, 0)</f>
        <v/>
      </c>
      <c r="H11" s="7" t="inlineStr">
        <is>
          <t>Mensual</t>
        </is>
      </c>
      <c r="I11" s="8" t="inlineStr">
        <is>
          <t>Renta líquida contractual</t>
        </is>
      </c>
    </row>
    <row r="12" ht="22" customHeight="1">
      <c r="B12" s="7" t="n">
        <v>2</v>
      </c>
      <c r="C12" s="7" t="inlineStr">
        <is>
          <t>Soledad</t>
        </is>
      </c>
      <c r="D12" s="8" t="inlineStr">
        <is>
          <t>Sueldo Líquido Soledad (Promedio)</t>
        </is>
      </c>
      <c r="E12" s="9" t="n">
        <v>875000</v>
      </c>
      <c r="F12" s="8" t="inlineStr">
        <is>
          <t>Chequera BancoEstado</t>
        </is>
      </c>
      <c r="G12" s="10">
        <f>IFERROR(E12/$E$13, 0)</f>
        <v/>
      </c>
      <c r="H12" s="7" t="inlineStr">
        <is>
          <t>Mensual</t>
        </is>
      </c>
      <c r="I12" s="8" t="inlineStr">
        <is>
          <t>Rango $850.000 - $900.000</t>
        </is>
      </c>
    </row>
    <row r="13" ht="24" customHeight="1">
      <c r="B13" s="11" t="inlineStr">
        <is>
          <t>TOTAL INGRESOS HOGAR</t>
        </is>
      </c>
      <c r="C13" s="91" t="n"/>
      <c r="D13" s="92" t="n"/>
      <c r="E13" s="13">
        <f>SUM(E11:E12)</f>
        <v/>
      </c>
      <c r="F13" s="12" t="n"/>
      <c r="G13" s="14">
        <f>SUM(G11:G12)</f>
        <v/>
      </c>
      <c r="H13" s="12" t="n"/>
      <c r="I13" s="13">
        <f>E13</f>
        <v/>
      </c>
    </row>
    <row r="14" ht="10" customHeight="1"/>
    <row r="15" ht="24" customHeight="1">
      <c r="B15" s="3" t="inlineStr">
        <is>
          <t>2. VIVIENDA &amp; GASTOS FIJOS — DIEGO (CUENTA FAN)</t>
        </is>
      </c>
    </row>
    <row r="16" ht="22" customHeight="1">
      <c r="B16" s="4" t="inlineStr">
        <is>
          <t>#</t>
        </is>
      </c>
      <c r="C16" s="5" t="inlineStr">
        <is>
          <t>Categoría</t>
        </is>
      </c>
      <c r="D16" s="5" t="inlineStr">
        <is>
          <t>Concepto</t>
        </is>
      </c>
      <c r="E16" s="6" t="inlineStr">
        <is>
          <t>Monto Base</t>
        </is>
      </c>
      <c r="F16" s="5" t="inlineStr">
        <is>
          <t>Medio</t>
        </is>
      </c>
      <c r="G16" s="4" t="inlineStr">
        <is>
          <t>% Ingreso</t>
        </is>
      </c>
      <c r="H16" s="4" t="inlineStr">
        <is>
          <t>Frecuencia</t>
        </is>
      </c>
      <c r="I16" s="5" t="inlineStr">
        <is>
          <t>Notas</t>
        </is>
      </c>
    </row>
    <row r="17" ht="21" customHeight="1">
      <c r="B17" s="7" t="n">
        <v>1</v>
      </c>
      <c r="C17" s="8" t="inlineStr">
        <is>
          <t>Vivienda</t>
        </is>
      </c>
      <c r="D17" s="8" t="inlineStr">
        <is>
          <t>Crédito Hipotecario (UF)</t>
        </is>
      </c>
      <c r="E17" s="9" t="n">
        <v>360000</v>
      </c>
      <c r="F17" s="8" t="inlineStr">
        <is>
          <t>Cuenta Fan</t>
        </is>
      </c>
      <c r="G17" s="10">
        <f>IFERROR(E17/$E$13, 0)</f>
        <v/>
      </c>
      <c r="H17" s="7" t="inlineStr">
        <is>
          <t>Mensual</t>
        </is>
      </c>
      <c r="I17" s="8" t="inlineStr">
        <is>
          <t>Alza gradual UF</t>
        </is>
      </c>
    </row>
    <row r="18" ht="21" customHeight="1">
      <c r="B18" s="7" t="n">
        <v>2</v>
      </c>
      <c r="C18" s="8" t="inlineStr">
        <is>
          <t>Vivienda Huasco</t>
        </is>
      </c>
      <c r="D18" s="8" t="inlineStr">
        <is>
          <t>Arriendo Habitación Huasco</t>
        </is>
      </c>
      <c r="E18" s="9" t="n">
        <v>95000</v>
      </c>
      <c r="F18" s="8" t="inlineStr">
        <is>
          <t>Cuenta Fan</t>
        </is>
      </c>
      <c r="G18" s="10">
        <f>IFERROR(E18/$E$13, 0)</f>
        <v/>
      </c>
      <c r="H18" s="7" t="inlineStr">
        <is>
          <t>Mensual</t>
        </is>
      </c>
      <c r="I18" s="8" t="inlineStr">
        <is>
          <t>Contrato vigente</t>
        </is>
      </c>
    </row>
    <row r="19" ht="21" customHeight="1">
      <c r="B19" s="7" t="n">
        <v>3</v>
      </c>
      <c r="C19" s="8" t="inlineStr">
        <is>
          <t>Vivienda Huasco</t>
        </is>
      </c>
      <c r="D19" s="8" t="inlineStr">
        <is>
          <t>Servicios Huasco (Luz y Agua)</t>
        </is>
      </c>
      <c r="E19" s="9" t="n">
        <v>7000</v>
      </c>
      <c r="F19" s="8" t="inlineStr">
        <is>
          <t>Cuenta Fan</t>
        </is>
      </c>
      <c r="G19" s="10">
        <f>IFERROR(E19/$E$13, 0)</f>
        <v/>
      </c>
      <c r="H19" s="7" t="inlineStr">
        <is>
          <t>Mensual</t>
        </is>
      </c>
      <c r="I19" s="8" t="inlineStr">
        <is>
          <t>Tarifa fija</t>
        </is>
      </c>
    </row>
    <row r="20" ht="21" customHeight="1">
      <c r="B20" s="7" t="n">
        <v>4</v>
      </c>
      <c r="C20" s="8" t="inlineStr">
        <is>
          <t>Conectividad</t>
        </is>
      </c>
      <c r="D20" s="8" t="inlineStr">
        <is>
          <t>Internet + Celular (Diego)</t>
        </is>
      </c>
      <c r="E20" s="9" t="n">
        <v>40000</v>
      </c>
      <c r="F20" s="8" t="inlineStr">
        <is>
          <t>Cuenta Fan</t>
        </is>
      </c>
      <c r="G20" s="10">
        <f>IFERROR(E20/$E$13, 0)</f>
        <v/>
      </c>
      <c r="H20" s="7" t="inlineStr">
        <is>
          <t>Mensual</t>
        </is>
      </c>
      <c r="I20" s="8" t="inlineStr">
        <is>
          <t>Plan fijo</t>
        </is>
      </c>
    </row>
    <row r="21" ht="21" customHeight="1">
      <c r="B21" s="7" t="n">
        <v>5</v>
      </c>
      <c r="C21" s="8" t="inlineStr">
        <is>
          <t>Mascotas</t>
        </is>
      </c>
      <c r="D21" s="8" t="inlineStr">
        <is>
          <t>Comida Michis</t>
        </is>
      </c>
      <c r="E21" s="9" t="n">
        <v>42000</v>
      </c>
      <c r="F21" s="8" t="inlineStr">
        <is>
          <t>Cuenta Fan</t>
        </is>
      </c>
      <c r="G21" s="10">
        <f>IFERROR(E21/$E$13, 0)</f>
        <v/>
      </c>
      <c r="H21" s="7" t="inlineStr">
        <is>
          <t>Mensual</t>
        </is>
      </c>
      <c r="I21" s="8" t="inlineStr">
        <is>
          <t>Promedio 14 meses</t>
        </is>
      </c>
    </row>
    <row r="22" ht="21" customHeight="1">
      <c r="B22" s="7" t="n">
        <v>6</v>
      </c>
      <c r="C22" s="8" t="inlineStr">
        <is>
          <t>Mascotas</t>
        </is>
      </c>
      <c r="D22" s="8" t="inlineStr">
        <is>
          <t>Arena Sanitaria Michis</t>
        </is>
      </c>
      <c r="E22" s="9" t="n">
        <v>20000</v>
      </c>
      <c r="F22" s="8" t="inlineStr">
        <is>
          <t>Cuenta Fan</t>
        </is>
      </c>
      <c r="G22" s="10">
        <f>IFERROR(E22/$E$13, 0)</f>
        <v/>
      </c>
      <c r="H22" s="7" t="inlineStr">
        <is>
          <t>Mensual</t>
        </is>
      </c>
      <c r="I22" s="8" t="inlineStr">
        <is>
          <t>Promedio 14 meses</t>
        </is>
      </c>
    </row>
    <row r="23" ht="21" customHeight="1">
      <c r="B23" s="7" t="n">
        <v>7</v>
      </c>
      <c r="C23" s="8" t="inlineStr">
        <is>
          <t>Streaming</t>
        </is>
      </c>
      <c r="D23" s="8" t="inlineStr">
        <is>
          <t>Netflix + Crunchyroll</t>
        </is>
      </c>
      <c r="E23" s="9" t="n">
        <v>16878</v>
      </c>
      <c r="F23" s="8" t="inlineStr">
        <is>
          <t>Cuenta Fan</t>
        </is>
      </c>
      <c r="G23" s="10">
        <f>IFERROR(E23/$E$13, 0)</f>
        <v/>
      </c>
      <c r="H23" s="7" t="inlineStr">
        <is>
          <t>Mensual</t>
        </is>
      </c>
      <c r="I23" s="8" t="inlineStr">
        <is>
          <t>$10.388 + $6.490</t>
        </is>
      </c>
    </row>
    <row r="24" ht="21" customHeight="1">
      <c r="B24" s="7" t="n">
        <v>8</v>
      </c>
      <c r="C24" s="8" t="inlineStr">
        <is>
          <t>Salud</t>
        </is>
      </c>
      <c r="D24" s="8" t="inlineStr">
        <is>
          <t>Eutirox 137 + Rupatadina</t>
        </is>
      </c>
      <c r="E24" s="9" t="n">
        <v>20382</v>
      </c>
      <c r="F24" s="8" t="inlineStr">
        <is>
          <t>Cuenta Fan</t>
        </is>
      </c>
      <c r="G24" s="10">
        <f>IFERROR(E24/$E$13, 0)</f>
        <v/>
      </c>
      <c r="H24" s="7" t="inlineStr">
        <is>
          <t>Mensual</t>
        </is>
      </c>
      <c r="I24" s="8" t="inlineStr">
        <is>
          <t>$10.000 + $10.382</t>
        </is>
      </c>
    </row>
    <row r="25" ht="24" customHeight="1">
      <c r="B25" s="11" t="inlineStr">
        <is>
          <t>SUBTOTAL VIVIENDA &amp; FIJOS DIEGO</t>
        </is>
      </c>
      <c r="C25" s="91" t="n"/>
      <c r="D25" s="92" t="n"/>
      <c r="E25" s="13">
        <f>SUM(E17:E24)</f>
        <v/>
      </c>
      <c r="F25" s="12" t="n"/>
      <c r="G25" s="14">
        <f>SUM(G17:G24)</f>
        <v/>
      </c>
      <c r="H25" s="12" t="n"/>
      <c r="I25" s="12" t="n"/>
    </row>
    <row r="26" ht="10" customHeight="1"/>
    <row r="27" ht="24" customHeight="1">
      <c r="B27" s="15" t="inlineStr">
        <is>
          <t>3. OPERACIONES &amp; LOGÍSTICA HUASCO — DIEGO (TENPO)</t>
        </is>
      </c>
    </row>
    <row r="28" ht="22" customHeight="1">
      <c r="B28" s="4" t="inlineStr">
        <is>
          <t>#</t>
        </is>
      </c>
      <c r="C28" s="5" t="inlineStr">
        <is>
          <t>Categoría</t>
        </is>
      </c>
      <c r="D28" s="5" t="inlineStr">
        <is>
          <t>Concepto</t>
        </is>
      </c>
      <c r="E28" s="6" t="inlineStr">
        <is>
          <t>Monto Base</t>
        </is>
      </c>
      <c r="F28" s="5" t="inlineStr">
        <is>
          <t>Medio</t>
        </is>
      </c>
      <c r="G28" s="4" t="inlineStr">
        <is>
          <t>% Ingreso</t>
        </is>
      </c>
      <c r="H28" s="4" t="inlineStr">
        <is>
          <t>Frecuencia</t>
        </is>
      </c>
      <c r="I28" s="5" t="inlineStr">
        <is>
          <t>Notas</t>
        </is>
      </c>
    </row>
    <row r="29" ht="21" customHeight="1">
      <c r="B29" s="7" t="n">
        <v>9</v>
      </c>
      <c r="C29" s="8" t="inlineStr">
        <is>
          <t>Operaciones</t>
        </is>
      </c>
      <c r="D29" s="8" t="inlineStr">
        <is>
          <t>Pasajes Interregionales (8 tramos)</t>
        </is>
      </c>
      <c r="E29" s="9" t="n">
        <v>231500</v>
      </c>
      <c r="F29" s="8" t="inlineStr">
        <is>
          <t>Tenpo</t>
        </is>
      </c>
      <c r="G29" s="10">
        <f>IFERROR(E29/$E$13, 0)</f>
        <v/>
      </c>
      <c r="H29" s="7" t="inlineStr">
        <is>
          <t>Mensual</t>
        </is>
      </c>
      <c r="I29" s="8" t="inlineStr">
        <is>
          <t>Pasajes Huasco</t>
        </is>
      </c>
    </row>
    <row r="30" ht="21" customHeight="1">
      <c r="B30" s="7" t="n">
        <v>10</v>
      </c>
      <c r="C30" s="8" t="inlineStr">
        <is>
          <t>Operaciones</t>
        </is>
      </c>
      <c r="D30" s="8" t="inlineStr">
        <is>
          <t>Uber (Traslados y retenciones)</t>
        </is>
      </c>
      <c r="E30" s="9" t="n">
        <v>25000</v>
      </c>
      <c r="F30" s="8" t="inlineStr">
        <is>
          <t>Tenpo</t>
        </is>
      </c>
      <c r="G30" s="10">
        <f>IFERROR(E30/$E$13, 0)</f>
        <v/>
      </c>
      <c r="H30" s="7" t="inlineStr">
        <is>
          <t>Mensual</t>
        </is>
      </c>
      <c r="I30" s="8" t="inlineStr">
        <is>
          <t>Margen PayU</t>
        </is>
      </c>
    </row>
    <row r="31" ht="21" customHeight="1">
      <c r="B31" s="7" t="n">
        <v>11</v>
      </c>
      <c r="C31" s="8" t="inlineStr">
        <is>
          <t>Operaciones</t>
        </is>
      </c>
      <c r="D31" s="8" t="inlineStr">
        <is>
          <t>Metro Valparaíso (EFE)</t>
        </is>
      </c>
      <c r="E31" s="9" t="n">
        <v>10000</v>
      </c>
      <c r="F31" s="8" t="inlineStr">
        <is>
          <t>Tenpo</t>
        </is>
      </c>
      <c r="G31" s="10">
        <f>IFERROR(E31/$E$13, 0)</f>
        <v/>
      </c>
      <c r="H31" s="7" t="inlineStr">
        <is>
          <t>Mensual</t>
        </is>
      </c>
      <c r="I31" s="8" t="inlineStr">
        <is>
          <t>Recargas</t>
        </is>
      </c>
    </row>
    <row r="32" ht="21" customHeight="1">
      <c r="B32" s="7" t="n">
        <v>12</v>
      </c>
      <c r="C32" s="8" t="inlineStr">
        <is>
          <t>Operaciones</t>
        </is>
      </c>
      <c r="D32" s="8" t="inlineStr">
        <is>
          <t>Snacks Turno (Galletas + Energéticas)</t>
        </is>
      </c>
      <c r="E32" s="9" t="n">
        <v>33500</v>
      </c>
      <c r="F32" s="8" t="inlineStr">
        <is>
          <t>Tenpo</t>
        </is>
      </c>
      <c r="G32" s="10">
        <f>IFERROR(E32/$E$13, 0)</f>
        <v/>
      </c>
      <c r="H32" s="7" t="inlineStr">
        <is>
          <t>Mensual</t>
        </is>
      </c>
      <c r="I32" s="8" t="inlineStr">
        <is>
          <t>Consumo en turno</t>
        </is>
      </c>
    </row>
    <row r="33" ht="24" customHeight="1">
      <c r="B33" s="11" t="inlineStr">
        <is>
          <t>SUBTOTAL OPERACIONES TENPO</t>
        </is>
      </c>
      <c r="C33" s="91" t="n"/>
      <c r="D33" s="92" t="n"/>
      <c r="E33" s="13">
        <f>SUM(E29:E32)</f>
        <v/>
      </c>
      <c r="F33" s="12" t="n"/>
      <c r="G33" s="14">
        <f>SUM(G29:G32)</f>
        <v/>
      </c>
      <c r="H33" s="12" t="n"/>
      <c r="I33" s="12" t="n"/>
    </row>
    <row r="34" ht="10" customHeight="1"/>
    <row r="35" ht="24" customHeight="1">
      <c r="B35" s="16" t="inlineStr">
        <is>
          <t>4. BOLSILLO PERSONAL &amp; AHORRO BLINDADO — DIEGO (MACH &amp; MERCADO PAGO)</t>
        </is>
      </c>
    </row>
    <row r="36" ht="22" customHeight="1">
      <c r="B36" s="4" t="inlineStr">
        <is>
          <t>#</t>
        </is>
      </c>
      <c r="C36" s="5" t="inlineStr">
        <is>
          <t>Categoría</t>
        </is>
      </c>
      <c r="D36" s="5" t="inlineStr">
        <is>
          <t>Concepto</t>
        </is>
      </c>
      <c r="E36" s="6" t="inlineStr">
        <is>
          <t>Monto Base</t>
        </is>
      </c>
      <c r="F36" s="5" t="inlineStr">
        <is>
          <t>Medio</t>
        </is>
      </c>
      <c r="G36" s="4" t="inlineStr">
        <is>
          <t>% Ingreso</t>
        </is>
      </c>
      <c r="H36" s="4" t="inlineStr">
        <is>
          <t>Frecuencia</t>
        </is>
      </c>
      <c r="I36" s="5" t="inlineStr">
        <is>
          <t>Notas</t>
        </is>
      </c>
    </row>
    <row r="37" ht="21" customHeight="1">
      <c r="B37" s="7" t="n">
        <v>13</v>
      </c>
      <c r="C37" s="8" t="inlineStr">
        <is>
          <t>Bolsillo</t>
        </is>
      </c>
      <c r="D37" s="8" t="inlineStr">
        <is>
          <t>Asignación Semanal Mach ($35k x 4)</t>
        </is>
      </c>
      <c r="E37" s="9" t="n">
        <v>140000</v>
      </c>
      <c r="F37" s="8" t="inlineStr">
        <is>
          <t>Mach</t>
        </is>
      </c>
      <c r="G37" s="10">
        <f>IFERROR(E37/$E$13, 0)</f>
        <v/>
      </c>
      <c r="H37" s="7" t="inlineStr">
        <is>
          <t>Semanal</t>
        </is>
      </c>
      <c r="I37" s="8" t="inlineStr">
        <is>
          <t>Modo recuperación</t>
        </is>
      </c>
    </row>
    <row r="38" ht="21" customHeight="1">
      <c r="B38" s="7" t="n">
        <v>14</v>
      </c>
      <c r="C38" s="8" t="inlineStr">
        <is>
          <t>Ahorro</t>
        </is>
      </c>
      <c r="D38" s="8" t="inlineStr">
        <is>
          <t>Fondo Emergencia Mercado Pago</t>
        </is>
      </c>
      <c r="E38" s="9" t="n">
        <v>130000</v>
      </c>
      <c r="F38" s="8" t="inlineStr">
        <is>
          <t>Mercado Pago</t>
        </is>
      </c>
      <c r="G38" s="10">
        <f>IFERROR(E38/$E$13, 0)</f>
        <v/>
      </c>
      <c r="H38" s="7" t="inlineStr">
        <is>
          <t>Mensual</t>
        </is>
      </c>
      <c r="I38" s="8" t="inlineStr">
        <is>
          <t>Rendimiento diario</t>
        </is>
      </c>
    </row>
    <row r="39" ht="24" customHeight="1">
      <c r="B39" s="11" t="inlineStr">
        <is>
          <t>SUBTOTAL BOLSILLO &amp; AHORRO DIEGO</t>
        </is>
      </c>
      <c r="C39" s="91" t="n"/>
      <c r="D39" s="92" t="n"/>
      <c r="E39" s="13">
        <f>SUM(E37:E38)</f>
        <v/>
      </c>
      <c r="F39" s="12" t="n"/>
      <c r="G39" s="14">
        <f>SUM(G37:G38)</f>
        <v/>
      </c>
      <c r="H39" s="12" t="n"/>
      <c r="I39" s="12" t="n"/>
    </row>
    <row r="40" ht="10" customHeight="1"/>
    <row r="41" ht="24" customHeight="1">
      <c r="B41" s="17" t="inlineStr">
        <is>
          <t>5. CUENTAS BÁSICAS LIMACHE &amp; COMPROMISOS — SOLEDAD (BANCOESTADO)</t>
        </is>
      </c>
    </row>
    <row r="42" ht="22" customHeight="1">
      <c r="B42" s="4" t="inlineStr">
        <is>
          <t>#</t>
        </is>
      </c>
      <c r="C42" s="5" t="inlineStr">
        <is>
          <t>Categoría</t>
        </is>
      </c>
      <c r="D42" s="5" t="inlineStr">
        <is>
          <t>Concepto</t>
        </is>
      </c>
      <c r="E42" s="6" t="inlineStr">
        <is>
          <t>Monto Base</t>
        </is>
      </c>
      <c r="F42" s="5" t="inlineStr">
        <is>
          <t>Medio</t>
        </is>
      </c>
      <c r="G42" s="4" t="inlineStr">
        <is>
          <t>% Ingreso</t>
        </is>
      </c>
      <c r="H42" s="4" t="inlineStr">
        <is>
          <t>Frecuencia</t>
        </is>
      </c>
      <c r="I42" s="5" t="inlineStr">
        <is>
          <t>Notas</t>
        </is>
      </c>
    </row>
    <row r="43" ht="21" customHeight="1">
      <c r="B43" s="7" t="n">
        <v>15</v>
      </c>
      <c r="C43" s="8" t="inlineStr">
        <is>
          <t>Hogar Limache</t>
        </is>
      </c>
      <c r="D43" s="8" t="inlineStr">
        <is>
          <t>Luz (CGE / Chilquinta)</t>
        </is>
      </c>
      <c r="E43" s="9" t="n">
        <v>22500</v>
      </c>
      <c r="F43" s="8" t="inlineStr">
        <is>
          <t>BancoEstado</t>
        </is>
      </c>
      <c r="G43" s="10">
        <f>IFERROR(E43/$E$13, 0)</f>
        <v/>
      </c>
      <c r="H43" s="7" t="inlineStr">
        <is>
          <t>Mensual</t>
        </is>
      </c>
      <c r="I43" s="8" t="inlineStr">
        <is>
          <t>Promedio 14 meses ($22.2k)</t>
        </is>
      </c>
    </row>
    <row r="44" ht="21" customHeight="1">
      <c r="B44" s="7" t="n">
        <v>16</v>
      </c>
      <c r="C44" s="8" t="inlineStr">
        <is>
          <t>Hogar Limache</t>
        </is>
      </c>
      <c r="D44" s="8" t="inlineStr">
        <is>
          <t>Agua (Esval)</t>
        </is>
      </c>
      <c r="E44" s="9" t="n">
        <v>7200</v>
      </c>
      <c r="F44" s="8" t="inlineStr">
        <is>
          <t>BancoEstado</t>
        </is>
      </c>
      <c r="G44" s="10">
        <f>IFERROR(E44/$E$13, 0)</f>
        <v/>
      </c>
      <c r="H44" s="7" t="inlineStr">
        <is>
          <t>Mensual</t>
        </is>
      </c>
      <c r="I44" s="8" t="inlineStr">
        <is>
          <t>Promedio 14 meses ($7.1k)</t>
        </is>
      </c>
    </row>
    <row r="45" ht="21" customHeight="1">
      <c r="B45" s="7" t="n">
        <v>17</v>
      </c>
      <c r="C45" s="8" t="inlineStr">
        <is>
          <t>Hogar Limache</t>
        </is>
      </c>
      <c r="D45" s="8" t="inlineStr">
        <is>
          <t>Gas (Lipigas / Abastible)</t>
        </is>
      </c>
      <c r="E45" s="9" t="n">
        <v>20500</v>
      </c>
      <c r="F45" s="8" t="inlineStr">
        <is>
          <t>BancoEstado</t>
        </is>
      </c>
      <c r="G45" s="10">
        <f>IFERROR(E45/$E$13, 0)</f>
        <v/>
      </c>
      <c r="H45" s="7" t="inlineStr">
        <is>
          <t>Mensual</t>
        </is>
      </c>
      <c r="I45" s="8" t="inlineStr">
        <is>
          <t>Promedio 14 meses ($20.1k)</t>
        </is>
      </c>
    </row>
    <row r="46" ht="21" customHeight="1">
      <c r="B46" s="7" t="n">
        <v>18</v>
      </c>
      <c r="C46" s="8" t="inlineStr">
        <is>
          <t>Conectividad</t>
        </is>
      </c>
      <c r="D46" s="8" t="inlineStr">
        <is>
          <t>Plan Claro (Pareja)</t>
        </is>
      </c>
      <c r="E46" s="9" t="n">
        <v>9500</v>
      </c>
      <c r="F46" s="8" t="inlineStr">
        <is>
          <t>BancoEstado</t>
        </is>
      </c>
      <c r="G46" s="10">
        <f>IFERROR(E46/$E$13, 0)</f>
        <v/>
      </c>
      <c r="H46" s="7" t="inlineStr">
        <is>
          <t>Mensual</t>
        </is>
      </c>
      <c r="I46" s="8" t="inlineStr">
        <is>
          <t>Promedio 14 meses ($9.3k)</t>
        </is>
      </c>
    </row>
    <row r="47" ht="21" customHeight="1">
      <c r="B47" s="7" t="n">
        <v>19</v>
      </c>
      <c r="C47" s="8" t="inlineStr">
        <is>
          <t>Hogar Limache</t>
        </is>
      </c>
      <c r="D47" s="8" t="inlineStr">
        <is>
          <t>Gasto Común Condominio</t>
        </is>
      </c>
      <c r="E47" s="9" t="n">
        <v>52500</v>
      </c>
      <c r="F47" s="8" t="inlineStr">
        <is>
          <t>BancoEstado</t>
        </is>
      </c>
      <c r="G47" s="10">
        <f>IFERROR(E47/$E$13, 0)</f>
        <v/>
      </c>
      <c r="H47" s="7" t="inlineStr">
        <is>
          <t>Mensual</t>
        </is>
      </c>
      <c r="I47" s="8" t="inlineStr">
        <is>
          <t>Promedio 14 meses ($52.5k)</t>
        </is>
      </c>
    </row>
    <row r="48" ht="21" customHeight="1">
      <c r="B48" s="7" t="n">
        <v>20</v>
      </c>
      <c r="C48" s="8" t="inlineStr">
        <is>
          <t>Alimentación</t>
        </is>
      </c>
      <c r="D48" s="8" t="inlineStr">
        <is>
          <t>Supermercado Hogar Limache</t>
        </is>
      </c>
      <c r="E48" s="9" t="n">
        <v>125000</v>
      </c>
      <c r="F48" s="8" t="inlineStr">
        <is>
          <t>BancoEstado</t>
        </is>
      </c>
      <c r="G48" s="10">
        <f>IFERROR(E48/$E$13, 0)</f>
        <v/>
      </c>
      <c r="H48" s="7" t="inlineStr">
        <is>
          <t>Mensual</t>
        </is>
      </c>
      <c r="I48" s="8" t="inlineStr">
        <is>
          <t>Presupuesto promedio acordado</t>
        </is>
      </c>
    </row>
    <row r="49" ht="21" customHeight="1">
      <c r="B49" s="7" t="n">
        <v>21</v>
      </c>
      <c r="C49" s="8" t="inlineStr">
        <is>
          <t>Hogar Limache</t>
        </is>
      </c>
      <c r="D49" s="8" t="inlineStr">
        <is>
          <t>Aseo Domiciliario Municipal</t>
        </is>
      </c>
      <c r="E49" s="9" t="n">
        <v>4550</v>
      </c>
      <c r="F49" s="8" t="inlineStr">
        <is>
          <t>BancoEstado</t>
        </is>
      </c>
      <c r="G49" s="10">
        <f>IFERROR(E49/$E$13, 0)</f>
        <v/>
      </c>
      <c r="H49" s="7" t="inlineStr">
        <is>
          <t>Mensual</t>
        </is>
      </c>
      <c r="I49" s="8" t="inlineStr">
        <is>
          <t>Cuota trimestral $13.6k</t>
        </is>
      </c>
    </row>
    <row r="50" ht="21" customHeight="1">
      <c r="B50" s="7" t="n">
        <v>22</v>
      </c>
      <c r="C50" s="8" t="inlineStr">
        <is>
          <t>Compromisos</t>
        </is>
      </c>
      <c r="D50" s="8" t="inlineStr">
        <is>
          <t>Tarjeta Smart Visa</t>
        </is>
      </c>
      <c r="E50" s="9" t="n">
        <v>50000</v>
      </c>
      <c r="F50" s="8" t="inlineStr">
        <is>
          <t>BancoEstado</t>
        </is>
      </c>
      <c r="G50" s="10">
        <f>IFERROR(E50/$E$13, 0)</f>
        <v/>
      </c>
      <c r="H50" s="7" t="inlineStr">
        <is>
          <t>Mensual</t>
        </is>
      </c>
      <c r="I50" s="8" t="inlineStr">
        <is>
          <t>Promedio 14 meses (~$46k-$50k)</t>
        </is>
      </c>
    </row>
    <row r="51" ht="24" customHeight="1">
      <c r="B51" s="11" t="inlineStr">
        <is>
          <t>SUBTOTAL HOGAR LIMACHE &amp; SMART SOLEDAD</t>
        </is>
      </c>
      <c r="C51" s="91" t="n"/>
      <c r="D51" s="92" t="n"/>
      <c r="E51" s="13">
        <f>SUM(E43:E50)</f>
        <v/>
      </c>
      <c r="F51" s="12" t="n"/>
      <c r="G51" s="14">
        <f>SUM(G43:G50)</f>
        <v/>
      </c>
      <c r="H51" s="12" t="n"/>
      <c r="I51" s="12" t="n"/>
    </row>
    <row r="52" ht="10" customHeight="1"/>
    <row r="53" ht="26" customHeight="1">
      <c r="B53" s="18" t="inlineStr">
        <is>
          <t>GRAN TOTAL PRESUPUESTO GASTOS HOGAR</t>
        </is>
      </c>
      <c r="C53" s="93" t="n"/>
      <c r="D53" s="94" t="n"/>
      <c r="E53" s="20">
        <f>E25+E33+E39+E51</f>
        <v/>
      </c>
      <c r="F53" s="19" t="n"/>
      <c r="G53" s="21">
        <f>G25+G33+G39+G51</f>
        <v/>
      </c>
      <c r="H53" s="19" t="n"/>
      <c r="I53" s="20">
        <f>E53</f>
        <v/>
      </c>
    </row>
  </sheetData>
  <mergeCells count="13">
    <mergeCell ref="B33:D33"/>
    <mergeCell ref="B15:I15"/>
    <mergeCell ref="B2:I2"/>
    <mergeCell ref="B13:D13"/>
    <mergeCell ref="B3:I3"/>
    <mergeCell ref="B5:I5"/>
    <mergeCell ref="B53:D53"/>
    <mergeCell ref="B27:I27"/>
    <mergeCell ref="B39:D39"/>
    <mergeCell ref="B41:I41"/>
    <mergeCell ref="B25:D25"/>
    <mergeCell ref="B35:I35"/>
    <mergeCell ref="B51:D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2" customWidth="1" min="4" max="4"/>
    <col width="18" customWidth="1" min="5" max="5"/>
    <col width="18" customWidth="1" min="6" max="6"/>
    <col width="20" customWidth="1" min="7" max="7"/>
    <col width="18" customWidth="1" min="8" max="8"/>
  </cols>
  <sheetData>
    <row r="1" ht="14" customHeight="1"/>
    <row r="2" ht="36" customHeight="1">
      <c r="B2" s="1" t="inlineStr">
        <is>
          <t>🚀 SIMULADOR DE ALZA DE RENTA &amp; CRONOGRAMA DE BLINDAJE</t>
        </is>
      </c>
    </row>
    <row r="3" ht="20" customHeight="1">
      <c r="B3" s="2" t="inlineStr">
        <is>
          <t>Plan para la meta de $2.100.000 en Mercado Pago (3 meses de gastos) y optimización de futuros incrementos de sueldo.</t>
        </is>
      </c>
    </row>
    <row r="4" ht="10" customHeight="1"/>
    <row r="5" ht="24" customHeight="1">
      <c r="B5" s="16" t="inlineStr">
        <is>
          <t>CRONOGRAMA DE ACELERACIÓN DEL FONDO DE EMERGENCIA ($2.100.000)</t>
        </is>
      </c>
    </row>
    <row r="6" ht="22" customHeight="1">
      <c r="B6" s="4" t="inlineStr">
        <is>
          <t>Mes / Hito</t>
        </is>
      </c>
      <c r="C6" s="6" t="inlineStr">
        <is>
          <t>Aporte Diego (MP)</t>
        </is>
      </c>
      <c r="D6" s="6" t="inlineStr">
        <is>
          <t>Aporte Soledad (Opcional)</t>
        </is>
      </c>
      <c r="E6" s="6" t="inlineStr">
        <is>
          <t>Interés Diario (~6%)</t>
        </is>
      </c>
      <c r="F6" s="6" t="inlineStr">
        <is>
          <t>Total Ahorro Mes</t>
        </is>
      </c>
      <c r="G6" s="6" t="inlineStr">
        <is>
          <t>Saldo Acumulado</t>
        </is>
      </c>
      <c r="H6" s="4" t="inlineStr">
        <is>
          <t>% Meta Alcanzada</t>
        </is>
      </c>
    </row>
    <row r="7" ht="22" customHeight="1">
      <c r="B7" s="8" t="inlineStr">
        <is>
          <t>Mes 1 (Inicio)</t>
        </is>
      </c>
      <c r="C7" s="39" t="n">
        <v>130000</v>
      </c>
      <c r="D7" s="39" t="n">
        <v>200000</v>
      </c>
      <c r="E7" s="39" t="n">
        <v>3000</v>
      </c>
      <c r="F7" s="39">
        <f>C7+D7+E7</f>
        <v/>
      </c>
      <c r="G7" s="9">
        <f>600000+F7</f>
        <v/>
      </c>
      <c r="H7" s="40">
        <f>IFERROR(G7/2100000, 0)</f>
        <v/>
      </c>
    </row>
    <row r="8" ht="22" customHeight="1">
      <c r="B8" s="8" t="inlineStr">
        <is>
          <t>Mes 2</t>
        </is>
      </c>
      <c r="C8" s="39" t="n">
        <v>130000</v>
      </c>
      <c r="D8" s="39" t="n">
        <v>200000</v>
      </c>
      <c r="E8" s="39" t="n">
        <v>4600</v>
      </c>
      <c r="F8" s="39">
        <f>C8+D8+E8</f>
        <v/>
      </c>
      <c r="G8" s="9">
        <f>G7+F8</f>
        <v/>
      </c>
      <c r="H8" s="40">
        <f>IFERROR(G8/2100000, 0)</f>
        <v/>
      </c>
    </row>
    <row r="9" ht="22" customHeight="1">
      <c r="B9" s="8" t="inlineStr">
        <is>
          <t>Mes 3</t>
        </is>
      </c>
      <c r="C9" s="39" t="n">
        <v>130000</v>
      </c>
      <c r="D9" s="39" t="n">
        <v>200000</v>
      </c>
      <c r="E9" s="39" t="n">
        <v>6300</v>
      </c>
      <c r="F9" s="39">
        <f>C9+D9+E9</f>
        <v/>
      </c>
      <c r="G9" s="9">
        <f>G8+F9</f>
        <v/>
      </c>
      <c r="H9" s="40">
        <f>IFERROR(G9/2100000, 0)</f>
        <v/>
      </c>
    </row>
    <row r="10" ht="22" customHeight="1">
      <c r="B10" s="8" t="inlineStr">
        <is>
          <t>Mes 4 (Meta Cumplida)</t>
        </is>
      </c>
      <c r="C10" s="39" t="n">
        <v>130000</v>
      </c>
      <c r="D10" s="39" t="n">
        <v>200000</v>
      </c>
      <c r="E10" s="39" t="n">
        <v>8000</v>
      </c>
      <c r="F10" s="39">
        <f>C10+D10+E10</f>
        <v/>
      </c>
      <c r="G10" s="9">
        <f>G9+F10</f>
        <v/>
      </c>
      <c r="H10" s="40">
        <f>IFERROR(G10/2100000, 0)</f>
        <v/>
      </c>
    </row>
    <row r="11" ht="22" customHeight="1">
      <c r="B11" s="8" t="inlineStr">
        <is>
          <t>Mes 5 (Fondo Blindado)</t>
        </is>
      </c>
      <c r="C11" s="39" t="n">
        <v>130000</v>
      </c>
      <c r="D11" s="39" t="n">
        <v>100000</v>
      </c>
      <c r="E11" s="39" t="n">
        <v>10500</v>
      </c>
      <c r="F11" s="39">
        <f>C11+D11+E11</f>
        <v/>
      </c>
      <c r="G11" s="9">
        <f>G10+F11</f>
        <v/>
      </c>
      <c r="H11" s="40">
        <f>IFERROR(G11/2100000, 0)</f>
        <v/>
      </c>
    </row>
  </sheetData>
  <mergeCells count="3">
    <mergeCell ref="B3:H3"/>
    <mergeCell ref="B5:H5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 ht="14" customHeight="1"/>
    <row r="2" ht="36" customHeight="1">
      <c r="B2" s="1" t="inlineStr">
        <is>
          <t>📘 GUÍA PASO A PASO: USO EN PC Y GOOGLE SHEETS DESDE EL CELULAR</t>
        </is>
      </c>
    </row>
    <row r="3" ht="20" customHeight="1">
      <c r="B3" s="2" t="inlineStr">
        <is>
          <t>Instrucciones claras y sin complicaciones para ingresar datos y entender cada número.</t>
        </is>
      </c>
    </row>
    <row r="5" ht="24" customHeight="1">
      <c r="B5" s="86" t="inlineStr">
        <is>
          <t>1. ¿CÓMO INGRESAR LAS BOLETAS DEL MES?</t>
        </is>
      </c>
    </row>
    <row r="6" ht="20" customHeight="1">
      <c r="B6" s="87" t="inlineStr">
        <is>
          <t>• Abre la primera pestaña 'Registro y Control Mensual'.</t>
        </is>
      </c>
    </row>
    <row r="7" ht="20" customHeight="1">
      <c r="B7" s="87" t="inlineStr">
        <is>
          <t>• SOLO debes escribir en la columna amarilla ('✏️ Real Mes Activo'). No toques las otras columnas.</t>
        </is>
      </c>
    </row>
    <row r="8" ht="20" customHeight="1">
      <c r="B8" s="87" t="inlineStr">
        <is>
          <t>• Si pagaron la Luz por $23.500, escribe 23500 en la fila de Luz.</t>
        </is>
      </c>
    </row>
    <row r="9" ht="20" customHeight="1">
      <c r="B9" s="87" t="inlineStr">
        <is>
          <t>• Si no tienen el valor de una boleta todavía, déjala en blanco. El sistema la marcará como pendiente.</t>
        </is>
      </c>
    </row>
    <row r="11" ht="24" customHeight="1">
      <c r="B11" s="86" t="inlineStr">
        <is>
          <t>2. ¿CÓMO ENTENDER LOS SEMÁFOROS Y DESVÍOS?</t>
        </is>
      </c>
    </row>
    <row r="12" ht="20" customHeight="1">
      <c r="B12" s="87" t="inlineStr">
        <is>
          <t>• 🟢 Verde ('En Rango'): La cuenta llegó normal, dentro de lo esperado. ¡Todo bien!</t>
        </is>
      </c>
    </row>
    <row r="13" ht="20" customHeight="1">
      <c r="B13" s="87" t="inlineStr">
        <is>
          <t>• 🟡 Amarillo ('Alerta +8%'): La cuenta subió un poquito sobre el promedio (más de $5.000). Atentos.</t>
        </is>
      </c>
    </row>
    <row r="14" ht="20" customHeight="1">
      <c r="B14" s="87" t="inlineStr">
        <is>
          <t>• 🔴 Rojo ('Desvío Fuerte'): Subió más de $15.000 (típico en la Luz en invierno). Revisar la boleta.</t>
        </is>
      </c>
    </row>
    <row r="15" ht="20" customHeight="1">
      <c r="B15" s="87" t="inlineStr">
        <is>
          <t>• 💎 Diamante ('Ahorro'): Pagaron menos de lo presupuestado. ¡Quedó plata a favor del hogar!</t>
        </is>
      </c>
    </row>
    <row r="17" ht="24" customHeight="1">
      <c r="B17" s="86" t="inlineStr">
        <is>
          <t>3. ¿QUÉ SIGNIFICA EL MARGEN DE CADA UNO?</t>
        </is>
      </c>
    </row>
    <row r="18" ht="20" customHeight="1">
      <c r="B18" s="87" t="inlineStr">
        <is>
          <t>• Margen Libre de Soledad (~$590.000): Sueldo de Soledad ($875k) menos sus cuentas ($284k). Es su dinero libre mensual.</t>
        </is>
      </c>
    </row>
    <row r="19" ht="20" customHeight="1">
      <c r="B19" s="87" t="inlineStr">
        <is>
          <t>• Colchón de Diego ($35.000): Lo que le sobra a Diego tras pagar hipotecario, Huasco, michis, bolsillo y su ahorro de $130k.</t>
        </is>
      </c>
    </row>
    <row r="20" ht="20" customHeight="1">
      <c r="B20" s="87" t="inlineStr">
        <is>
          <t>• Superávit Familiar (~$626.000): La plata neta que queda libre en la casa entre los dos para proyectos o blindaje.</t>
        </is>
      </c>
    </row>
    <row r="22" ht="24" customHeight="1">
      <c r="B22" s="86" t="inlineStr">
        <is>
          <t>4. ACCESO DIRECTO DESDE EL CELULAR EN 1 TOQUE</t>
        </is>
      </c>
    </row>
    <row r="23" ht="20" customHeight="1">
      <c r="B23" s="87" t="inlineStr">
        <is>
          <t>• Sube este archivo a Google Drive (drive.google.com) y guárdalo como Hoja de Cálculo de Google.</t>
        </is>
      </c>
    </row>
    <row r="24" ht="20" customHeight="1">
      <c r="B24" s="87" t="inlineStr">
        <is>
          <t>• Compártelo con Soledad con permiso de Editor.</t>
        </is>
      </c>
    </row>
    <row r="25" ht="20" customHeight="1">
      <c r="B25" s="87" t="inlineStr">
        <is>
          <t>• En Android: En la app Hojas de Cálculo, toca los 3 puntos (⋮) &gt; 'Añadir a pantalla de inicio'.</t>
        </is>
      </c>
    </row>
    <row r="26" ht="20" customHeight="1">
      <c r="B26" s="87" t="inlineStr">
        <is>
          <t>• En iPhone: En Safari, toca Compartir &gt; 'Agregar al inicio'. Tendrán un icono como una app en el celular.</t>
        </is>
      </c>
    </row>
  </sheetData>
  <mergeCells count="21">
    <mergeCell ref="B2:G2"/>
    <mergeCell ref="B14:G14"/>
    <mergeCell ref="B17:G17"/>
    <mergeCell ref="B23:G23"/>
    <mergeCell ref="B8:G8"/>
    <mergeCell ref="B13:G13"/>
    <mergeCell ref="B19:G19"/>
    <mergeCell ref="B9:G9"/>
    <mergeCell ref="B15:G15"/>
    <mergeCell ref="B6:G6"/>
    <mergeCell ref="B24:G24"/>
    <mergeCell ref="B20:G20"/>
    <mergeCell ref="B5:G5"/>
    <mergeCell ref="B26:G26"/>
    <mergeCell ref="B7:G7"/>
    <mergeCell ref="B25:G25"/>
    <mergeCell ref="B3:G3"/>
    <mergeCell ref="B22:G22"/>
    <mergeCell ref="B12:G12"/>
    <mergeCell ref="B18:G18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2026-10-26T18:30:22Z</dcterms:created>
  <dcterms:modified xmlns:dcterms="http://purl.org/dc/terms/" xmlns:xsi="http://www.w3.org/2001/XMLSchema-instance" xsi:type="dcterms:W3CDTF">2026-10-26T18:33:52Z</dcterms:modified>
</cp:coreProperties>
</file>